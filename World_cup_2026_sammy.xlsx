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Rules" sheetId="1" r:id="rId5"/>
    <sheet state="visible" name="Group Stage" sheetId="2" r:id="rId6"/>
    <sheet state="visible" name="Elimination Rounds" sheetId="3" r:id="rId7"/>
    <sheet state="visible" name="Checks" sheetId="4" r:id="rId8"/>
  </sheets>
  <definedNames/>
  <calcPr/>
</workbook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<sst xmlns="http://schemas.openxmlformats.org/spreadsheetml/2006/main" count="385" uniqueCount="113">
  <si>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</si>
  <si>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</si>
  <si>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</si>
  <si>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</si>
  <si>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</si>
  <si>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</si>
  <si>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</si>
  <si>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</si>
  <si>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</si>
  <si>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</si>
  <si>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</si>
  <si>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</si>
  <si>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</si>
  <si>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</si>
  <si>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</si>
  <si>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</si>
  <si>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</si>
  <si>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</si>
  <si>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</si>
  <si>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</si>
  <si>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</si>
  <si>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</si>
  <si>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</si>
  <si>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</si>
  <si>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</si>
  <si>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Result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</si>
  <si>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</si>
  <si>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</si>
  <si>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</si>
  <si>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</si>
  <si>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</si>
  <si>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</si>
  <si>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</si>
  <si>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</si>
  <si>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</si>
  <si>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</si>
  <si>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</si>
  <si>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</si>
  <si>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</si>
  <si>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</si>
  <si>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</si>
  <si>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</si>
  <si>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</si>
  <si>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</si>
  <si>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</si>
  <si>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</si>
  <si>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</si>
  <si>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</si>
  <si>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</si>
  <si>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</si>
  <si>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</si>
  <si>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</si>
  <si>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</si>
  <si>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</si>
  <si>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</si>
  <si>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</si>
  <si>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</si>
  <si>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</si>
  <si>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</si>
  <si>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</si>
  <si>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</si>
  <si>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</si>
  <si>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</si>
  <si>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</si>
  <si>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</si>
  <si>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</si>
  <si>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</si>
  <si>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</si>
  <si>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</si>
  <si>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</si>
  <si>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</si>
  <si>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</si>
  <si>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</si>
  <si>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</si>
  <si>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</si>
  <si>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</si>
  <si>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</si>
  <si>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</si>
  <si>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</si>
  <si>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</si>
  <si>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</si>
  <si>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</si>
  <si>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</si>
  <si>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</si>
  <si>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</si>
  <si>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</si>
  <si>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</si>
  <si>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</si>
  <si>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</si>
  <si>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</si>
  <si>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</si>
  <si>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</si>
  <si>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</si>
  <si>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</si>
  <si>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</si>
  <si>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</si>
  <si>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</si>
  <si>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</si>
  <si>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</si>
  <si>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</si>
  <si>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ROUND OF 16</t>
  </si>
  <si>
    <t>:16</t>
  </si>
  <si>
    <t>QUARTER-FINALS</t>
  </si>
  <si>
    <t>:8</t>
  </si>
  <si>
    <t>SEMI-FINALS</t>
  </si>
  <si>
    <t>:4</t>
  </si>
  <si>
    <t>FINAL</t>
  </si>
  <si>
    <t>:2</t>
  </si>
  <si>
    <t>WINNER</t>
  </si>
  <si>
    <t>:1</t>
  </si>
  <si>
    <t>GROUP STAGE GAMES CHECK</t>
  </si>
  <si>
    <t>GAMES PICKED</t>
  </si>
  <si>
    <t>TOTAL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</si>
</sst>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i/>
      <sz val="8.0"/>
      <color theme="1"/>
      <name val="Arial"/>
    </font>
    <font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3" numFmtId="0" xfId="0" applyBorder="1" applyFill="1" applyFont="1"/>
    <xf borderId="1" fillId="3" fontId="4" numFmtId="0" xfId="0" applyBorder="1" applyFont="1"/>
    <xf borderId="1" fillId="3" fontId="3" numFmtId="0" xfId="0" applyAlignment="1" applyBorder="1" applyFont="1">
      <alignment horizontal="center" vertical="center"/>
    </xf>
    <xf borderId="0" fillId="0" fontId="5" numFmtId="0" xfId="0" applyFont="1"/>
    <xf borderId="1" fillId="4" fontId="1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5" fontId="2" numFmtId="0" xfId="0" applyAlignment="1" applyBorder="1" applyFill="1" applyFont="1">
      <alignment horizontal="center" vertical="center"/>
    </xf>
    <xf borderId="0" fillId="0" fontId="6" numFmtId="0" xfId="0" applyFont="1"/>
    <xf borderId="1" fillId="5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7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  <sz val="2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3" width="16.0"/>
    <col customWidth="1" min="4" max="6" width="8.57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>
        <v>72.0</v>
      </c>
    </row>
    <row r="3" ht="14.25" customHeight="1">
      <c r="A3" s="2" t="s">
        <v>5</v>
      </c>
      <c r="B3" s="3" t="s">
        <v>6</v>
      </c>
      <c r="C3" s="3">
        <v>144.0</v>
      </c>
    </row>
    <row r="4" ht="14.25" customHeight="1">
      <c r="A4" s="2" t="s">
        <v>7</v>
      </c>
      <c r="B4" s="3" t="s">
        <v>6</v>
      </c>
      <c r="C4" s="3">
        <v>24.0</v>
      </c>
    </row>
    <row r="5" ht="14.25" customHeight="1">
      <c r="A5" s="2" t="s">
        <v>8</v>
      </c>
      <c r="B5" s="3" t="s">
        <v>4</v>
      </c>
      <c r="C5" s="3">
        <v>36.0</v>
      </c>
    </row>
    <row r="6" ht="14.25" customHeight="1">
      <c r="A6" s="2" t="s">
        <v>9</v>
      </c>
      <c r="B6" s="3" t="s">
        <v>6</v>
      </c>
      <c r="C6" s="3">
        <v>32.0</v>
      </c>
    </row>
    <row r="7" ht="14.25" customHeight="1">
      <c r="A7" s="2" t="s">
        <v>10</v>
      </c>
      <c r="B7" s="3" t="s">
        <v>11</v>
      </c>
      <c r="C7" s="3">
        <v>32.0</v>
      </c>
    </row>
    <row r="8" ht="14.25" customHeight="1">
      <c r="A8" s="2" t="s">
        <v>12</v>
      </c>
      <c r="B8" s="3" t="s">
        <v>13</v>
      </c>
      <c r="C8" s="3">
        <v>32.0</v>
      </c>
    </row>
    <row r="9" ht="14.25" customHeight="1">
      <c r="A9" s="2" t="s">
        <v>14</v>
      </c>
      <c r="B9" s="3" t="s">
        <v>15</v>
      </c>
      <c r="C9" s="3">
        <v>32.0</v>
      </c>
    </row>
    <row r="10" ht="14.25" customHeight="1">
      <c r="A10" s="2" t="s">
        <v>16</v>
      </c>
      <c r="B10" s="3" t="s">
        <v>17</v>
      </c>
      <c r="C10" s="3">
        <v>32.0</v>
      </c>
    </row>
    <row r="11" ht="14.25" customHeight="1">
      <c r="A11" s="4" t="s">
        <v>18</v>
      </c>
      <c r="B11" s="5"/>
      <c r="C11" s="6">
        <f>SUM(C2:C10)</f>
        <v>436</v>
      </c>
    </row>
    <row r="12" ht="14.25" customHeight="1"/>
    <row r="13" ht="14.25" customHeight="1">
      <c r="A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4" width="18.0"/>
    <col customWidth="1" min="5" max="6" width="12.0"/>
    <col customWidth="1" min="7" max="7" width="15.0"/>
    <col customWidth="1" min="8" max="8" width="3.0"/>
    <col customWidth="1" min="9" max="9" width="11.0"/>
    <col customWidth="1" min="10" max="10" width="8.0"/>
  </cols>
  <sheetData>
    <row r="1" ht="14.2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8" t="s">
        <v>26</v>
      </c>
      <c r="J1" s="9"/>
    </row>
    <row r="2" ht="14.25" customHeight="1">
      <c r="A2" s="3">
        <v>1.0</v>
      </c>
      <c r="B2" s="3" t="s">
        <v>27</v>
      </c>
      <c r="C2" s="2" t="s">
        <v>28</v>
      </c>
      <c r="D2" s="2" t="s">
        <v>29</v>
      </c>
      <c r="E2" s="10">
        <v>1.0</v>
      </c>
      <c r="F2" s="10">
        <v>0.0</v>
      </c>
      <c r="G2" s="3" t="str">
        <f t="shared" ref="G2:G73" si="1">IF(AND(E2&lt;&gt;"",F2&lt;&gt;""),IF(E2&gt;F2,C2,IF(E2&lt;F2,D2,"Draw")),"")</f>
        <v>Mexico</v>
      </c>
      <c r="I2" s="2" t="s">
        <v>21</v>
      </c>
      <c r="J2" s="3">
        <f t="array" ref="J2">SUMPRODUCT((G2:G73=C2:C73)*1)</f>
        <v>50</v>
      </c>
    </row>
    <row r="3" ht="14.25" customHeight="1">
      <c r="A3" s="3">
        <v>2.0</v>
      </c>
      <c r="B3" s="3" t="s">
        <v>27</v>
      </c>
      <c r="C3" s="2" t="s">
        <v>30</v>
      </c>
      <c r="D3" s="2" t="s">
        <v>31</v>
      </c>
      <c r="E3" s="10">
        <v>2.0</v>
      </c>
      <c r="F3" s="10">
        <v>0.0</v>
      </c>
      <c r="G3" s="3" t="str">
        <f t="shared" si="1"/>
        <v>South Africa</v>
      </c>
      <c r="I3" s="2" t="s">
        <v>22</v>
      </c>
      <c r="J3" s="3">
        <f t="array" ref="J3">SUMPRODUCT((G2:G73=D2:D73)*1)</f>
        <v>13</v>
      </c>
    </row>
    <row r="4" ht="14.25" customHeight="1">
      <c r="A4" s="3">
        <v>3.0</v>
      </c>
      <c r="B4" s="3" t="s">
        <v>27</v>
      </c>
      <c r="C4" s="2" t="s">
        <v>28</v>
      </c>
      <c r="D4" s="2" t="s">
        <v>30</v>
      </c>
      <c r="E4" s="10">
        <v>2.0</v>
      </c>
      <c r="F4" s="10">
        <v>0.0</v>
      </c>
      <c r="G4" s="3" t="str">
        <f t="shared" si="1"/>
        <v>Mexico</v>
      </c>
      <c r="I4" s="2" t="s">
        <v>32</v>
      </c>
      <c r="J4" s="3">
        <f>COUNTIF(G2:G73,"Draw")</f>
        <v>9</v>
      </c>
    </row>
    <row r="5" ht="14.25" customHeight="1">
      <c r="A5" s="3">
        <v>4.0</v>
      </c>
      <c r="B5" s="3" t="s">
        <v>27</v>
      </c>
      <c r="C5" s="2" t="s">
        <v>29</v>
      </c>
      <c r="D5" s="2" t="s">
        <v>31</v>
      </c>
      <c r="E5" s="10">
        <v>1.0</v>
      </c>
      <c r="F5" s="10">
        <v>0.0</v>
      </c>
      <c r="G5" s="3" t="str">
        <f t="shared" si="1"/>
        <v>South Korea</v>
      </c>
      <c r="I5" s="4" t="s">
        <v>18</v>
      </c>
      <c r="J5" s="6">
        <f>SUM(J2:J4)</f>
        <v>72</v>
      </c>
    </row>
    <row r="6" ht="14.25" customHeight="1">
      <c r="A6" s="3">
        <v>5.0</v>
      </c>
      <c r="B6" s="3" t="s">
        <v>27</v>
      </c>
      <c r="C6" s="2" t="s">
        <v>28</v>
      </c>
      <c r="D6" s="2" t="s">
        <v>31</v>
      </c>
      <c r="E6" s="10">
        <v>3.0</v>
      </c>
      <c r="F6" s="10">
        <v>0.0</v>
      </c>
      <c r="G6" s="3" t="str">
        <f t="shared" si="1"/>
        <v>Mexico</v>
      </c>
      <c r="I6" s="11" t="s">
        <v>33</v>
      </c>
    </row>
    <row r="7" ht="14.25" customHeight="1">
      <c r="A7" s="3">
        <v>6.0</v>
      </c>
      <c r="B7" s="3" t="s">
        <v>27</v>
      </c>
      <c r="C7" s="2" t="s">
        <v>29</v>
      </c>
      <c r="D7" s="2" t="s">
        <v>30</v>
      </c>
      <c r="E7" s="10">
        <v>2.0</v>
      </c>
      <c r="F7" s="10">
        <v>1.0</v>
      </c>
      <c r="G7" s="3" t="str">
        <f t="shared" si="1"/>
        <v>South Korea</v>
      </c>
    </row>
    <row r="8" ht="14.25" customHeight="1">
      <c r="A8" s="3">
        <v>7.0</v>
      </c>
      <c r="B8" s="3" t="s">
        <v>34</v>
      </c>
      <c r="C8" s="2" t="s">
        <v>35</v>
      </c>
      <c r="D8" s="2" t="s">
        <v>36</v>
      </c>
      <c r="E8" s="10">
        <v>0.0</v>
      </c>
      <c r="F8" s="10">
        <v>3.0</v>
      </c>
      <c r="G8" s="3" t="str">
        <f t="shared" si="1"/>
        <v>Switzerland</v>
      </c>
    </row>
    <row r="9" ht="14.25" customHeight="1">
      <c r="A9" s="3">
        <v>8.0</v>
      </c>
      <c r="B9" s="3" t="s">
        <v>34</v>
      </c>
      <c r="C9" s="2" t="s">
        <v>37</v>
      </c>
      <c r="D9" s="2" t="s">
        <v>38</v>
      </c>
      <c r="E9" s="10">
        <v>0.0</v>
      </c>
      <c r="F9" s="10">
        <v>2.0</v>
      </c>
      <c r="G9" s="3" t="str">
        <f t="shared" si="1"/>
        <v>Bosnia-Herzegovina</v>
      </c>
    </row>
    <row r="10" ht="14.25" customHeight="1">
      <c r="A10" s="3">
        <v>9.0</v>
      </c>
      <c r="B10" s="3" t="s">
        <v>34</v>
      </c>
      <c r="C10" s="2" t="s">
        <v>35</v>
      </c>
      <c r="D10" s="2" t="s">
        <v>37</v>
      </c>
      <c r="E10" s="10">
        <v>1.0</v>
      </c>
      <c r="F10" s="10">
        <v>0.0</v>
      </c>
      <c r="G10" s="3" t="str">
        <f t="shared" si="1"/>
        <v>Canada</v>
      </c>
    </row>
    <row r="11" ht="14.25" customHeight="1">
      <c r="A11" s="3">
        <v>10.0</v>
      </c>
      <c r="B11" s="3" t="s">
        <v>34</v>
      </c>
      <c r="C11" s="2" t="s">
        <v>36</v>
      </c>
      <c r="D11" s="2" t="s">
        <v>38</v>
      </c>
      <c r="E11" s="10">
        <v>1.0</v>
      </c>
      <c r="F11" s="10">
        <v>0.0</v>
      </c>
      <c r="G11" s="3" t="str">
        <f t="shared" si="1"/>
        <v>Switzerland</v>
      </c>
    </row>
    <row r="12" ht="14.25" customHeight="1">
      <c r="A12" s="3">
        <v>11.0</v>
      </c>
      <c r="B12" s="3" t="s">
        <v>34</v>
      </c>
      <c r="C12" s="2" t="s">
        <v>35</v>
      </c>
      <c r="D12" s="2" t="s">
        <v>38</v>
      </c>
      <c r="E12" s="10">
        <v>1.0</v>
      </c>
      <c r="F12" s="10">
        <v>1.0</v>
      </c>
      <c r="G12" s="3" t="str">
        <f t="shared" si="1"/>
        <v>Draw</v>
      </c>
    </row>
    <row r="13" ht="14.25" customHeight="1">
      <c r="A13" s="3">
        <v>12.0</v>
      </c>
      <c r="B13" s="3" t="s">
        <v>34</v>
      </c>
      <c r="C13" s="2" t="s">
        <v>36</v>
      </c>
      <c r="D13" s="2" t="s">
        <v>37</v>
      </c>
      <c r="E13" s="10">
        <v>3.0</v>
      </c>
      <c r="F13" s="10">
        <v>0.0</v>
      </c>
      <c r="G13" s="3" t="str">
        <f t="shared" si="1"/>
        <v>Switzerland</v>
      </c>
    </row>
    <row r="14" ht="14.25" customHeight="1">
      <c r="A14" s="3">
        <v>13.0</v>
      </c>
      <c r="B14" s="3" t="s">
        <v>39</v>
      </c>
      <c r="C14" s="2" t="s">
        <v>40</v>
      </c>
      <c r="D14" s="2" t="s">
        <v>41</v>
      </c>
      <c r="E14" s="10">
        <v>2.0</v>
      </c>
      <c r="F14" s="10">
        <v>1.0</v>
      </c>
      <c r="G14" s="3" t="str">
        <f t="shared" si="1"/>
        <v>Brazil</v>
      </c>
    </row>
    <row r="15" ht="14.25" customHeight="1">
      <c r="A15" s="3">
        <v>14.0</v>
      </c>
      <c r="B15" s="3" t="s">
        <v>39</v>
      </c>
      <c r="C15" s="2" t="s">
        <v>42</v>
      </c>
      <c r="D15" s="2" t="s">
        <v>43</v>
      </c>
      <c r="E15" s="10">
        <v>3.0</v>
      </c>
      <c r="F15" s="10">
        <v>0.0</v>
      </c>
      <c r="G15" s="3" t="str">
        <f t="shared" si="1"/>
        <v>Scotland</v>
      </c>
    </row>
    <row r="16" ht="14.25" customHeight="1">
      <c r="A16" s="3">
        <v>15.0</v>
      </c>
      <c r="B16" s="3" t="s">
        <v>39</v>
      </c>
      <c r="C16" s="2" t="s">
        <v>40</v>
      </c>
      <c r="D16" s="2" t="s">
        <v>42</v>
      </c>
      <c r="E16" s="10">
        <v>3.0</v>
      </c>
      <c r="F16" s="10">
        <v>0.0</v>
      </c>
      <c r="G16" s="3" t="str">
        <f t="shared" si="1"/>
        <v>Brazil</v>
      </c>
    </row>
    <row r="17" ht="14.25" customHeight="1">
      <c r="A17" s="3">
        <v>16.0</v>
      </c>
      <c r="B17" s="3" t="s">
        <v>39</v>
      </c>
      <c r="C17" s="2" t="s">
        <v>41</v>
      </c>
      <c r="D17" s="2" t="s">
        <v>43</v>
      </c>
      <c r="E17" s="10">
        <v>1.0</v>
      </c>
      <c r="F17" s="10">
        <v>0.0</v>
      </c>
      <c r="G17" s="3" t="str">
        <f t="shared" si="1"/>
        <v>Morocco</v>
      </c>
    </row>
    <row r="18" ht="14.25" customHeight="1">
      <c r="A18" s="3">
        <v>17.0</v>
      </c>
      <c r="B18" s="3" t="s">
        <v>39</v>
      </c>
      <c r="C18" s="2" t="s">
        <v>40</v>
      </c>
      <c r="D18" s="2" t="s">
        <v>43</v>
      </c>
      <c r="E18" s="10">
        <v>3.0</v>
      </c>
      <c r="F18" s="10">
        <v>0.0</v>
      </c>
      <c r="G18" s="3" t="str">
        <f t="shared" si="1"/>
        <v>Brazil</v>
      </c>
    </row>
    <row r="19" ht="14.25" customHeight="1">
      <c r="A19" s="3">
        <v>18.0</v>
      </c>
      <c r="B19" s="3" t="s">
        <v>39</v>
      </c>
      <c r="C19" s="2" t="s">
        <v>41</v>
      </c>
      <c r="D19" s="2" t="s">
        <v>42</v>
      </c>
      <c r="E19" s="10">
        <v>1.0</v>
      </c>
      <c r="F19" s="10">
        <v>1.0</v>
      </c>
      <c r="G19" s="3" t="str">
        <f t="shared" si="1"/>
        <v>Draw</v>
      </c>
    </row>
    <row r="20" ht="14.25" customHeight="1">
      <c r="A20" s="3">
        <v>19.0</v>
      </c>
      <c r="B20" s="3" t="s">
        <v>44</v>
      </c>
      <c r="C20" s="2" t="s">
        <v>45</v>
      </c>
      <c r="D20" s="2" t="s">
        <v>46</v>
      </c>
      <c r="E20" s="10">
        <v>1.0</v>
      </c>
      <c r="F20" s="10">
        <v>1.0</v>
      </c>
      <c r="G20" s="3" t="str">
        <f t="shared" si="1"/>
        <v>Draw</v>
      </c>
    </row>
    <row r="21" ht="14.25" customHeight="1">
      <c r="A21" s="3">
        <v>20.0</v>
      </c>
      <c r="B21" s="3" t="s">
        <v>44</v>
      </c>
      <c r="C21" s="2" t="s">
        <v>47</v>
      </c>
      <c r="D21" s="2" t="s">
        <v>48</v>
      </c>
      <c r="E21" s="10">
        <v>0.0</v>
      </c>
      <c r="F21" s="10">
        <v>1.0</v>
      </c>
      <c r="G21" s="3" t="str">
        <f t="shared" si="1"/>
        <v>Turkiye</v>
      </c>
    </row>
    <row r="22" ht="14.25" customHeight="1">
      <c r="A22" s="3">
        <v>21.0</v>
      </c>
      <c r="B22" s="3" t="s">
        <v>44</v>
      </c>
      <c r="C22" s="2" t="s">
        <v>45</v>
      </c>
      <c r="D22" s="2" t="s">
        <v>47</v>
      </c>
      <c r="E22" s="10">
        <v>0.0</v>
      </c>
      <c r="F22" s="10">
        <v>1.0</v>
      </c>
      <c r="G22" s="3" t="str">
        <f t="shared" si="1"/>
        <v>Australia</v>
      </c>
    </row>
    <row r="23" ht="14.25" customHeight="1">
      <c r="A23" s="3">
        <v>22.0</v>
      </c>
      <c r="B23" s="3" t="s">
        <v>44</v>
      </c>
      <c r="C23" s="2" t="s">
        <v>46</v>
      </c>
      <c r="D23" s="2" t="s">
        <v>48</v>
      </c>
      <c r="E23" s="10">
        <v>0.0</v>
      </c>
      <c r="F23" s="10">
        <v>2.0</v>
      </c>
      <c r="G23" s="3" t="str">
        <f t="shared" si="1"/>
        <v>Turkiye</v>
      </c>
    </row>
    <row r="24" ht="14.25" customHeight="1">
      <c r="A24" s="3">
        <v>23.0</v>
      </c>
      <c r="B24" s="3" t="s">
        <v>44</v>
      </c>
      <c r="C24" s="2" t="s">
        <v>45</v>
      </c>
      <c r="D24" s="2" t="s">
        <v>48</v>
      </c>
      <c r="E24" s="10">
        <v>0.0</v>
      </c>
      <c r="F24" s="10">
        <v>2.0</v>
      </c>
      <c r="G24" s="3" t="str">
        <f t="shared" si="1"/>
        <v>Turkiye</v>
      </c>
    </row>
    <row r="25" ht="14.25" customHeight="1">
      <c r="A25" s="3">
        <v>24.0</v>
      </c>
      <c r="B25" s="3" t="s">
        <v>44</v>
      </c>
      <c r="C25" s="2" t="s">
        <v>46</v>
      </c>
      <c r="D25" s="2" t="s">
        <v>47</v>
      </c>
      <c r="E25" s="10">
        <v>0.0</v>
      </c>
      <c r="F25" s="10">
        <v>1.0</v>
      </c>
      <c r="G25" s="3" t="str">
        <f t="shared" si="1"/>
        <v>Australia</v>
      </c>
    </row>
    <row r="26" ht="14.25" customHeight="1">
      <c r="A26" s="3">
        <v>25.0</v>
      </c>
      <c r="B26" s="3" t="s">
        <v>49</v>
      </c>
      <c r="C26" s="2" t="s">
        <v>50</v>
      </c>
      <c r="D26" s="2" t="s">
        <v>51</v>
      </c>
      <c r="E26" s="10">
        <v>2.0</v>
      </c>
      <c r="F26" s="10">
        <v>1.0</v>
      </c>
      <c r="G26" s="3" t="str">
        <f t="shared" si="1"/>
        <v>Germany</v>
      </c>
    </row>
    <row r="27" ht="14.25" customHeight="1">
      <c r="A27" s="3">
        <v>26.0</v>
      </c>
      <c r="B27" s="3" t="s">
        <v>49</v>
      </c>
      <c r="C27" s="2" t="s">
        <v>52</v>
      </c>
      <c r="D27" s="2" t="s">
        <v>53</v>
      </c>
      <c r="E27" s="10">
        <v>3.0</v>
      </c>
      <c r="F27" s="10">
        <v>1.0</v>
      </c>
      <c r="G27" s="3" t="str">
        <f t="shared" si="1"/>
        <v>Ivory Coast</v>
      </c>
    </row>
    <row r="28" ht="14.25" customHeight="1">
      <c r="A28" s="3">
        <v>27.0</v>
      </c>
      <c r="B28" s="3" t="s">
        <v>49</v>
      </c>
      <c r="C28" s="2" t="s">
        <v>50</v>
      </c>
      <c r="D28" s="2" t="s">
        <v>52</v>
      </c>
      <c r="E28" s="10">
        <v>2.0</v>
      </c>
      <c r="F28" s="10">
        <v>1.0</v>
      </c>
      <c r="G28" s="3" t="str">
        <f t="shared" si="1"/>
        <v>Germany</v>
      </c>
    </row>
    <row r="29" ht="14.25" customHeight="1">
      <c r="A29" s="3">
        <v>28.0</v>
      </c>
      <c r="B29" s="3" t="s">
        <v>49</v>
      </c>
      <c r="C29" s="2" t="s">
        <v>51</v>
      </c>
      <c r="D29" s="2" t="s">
        <v>53</v>
      </c>
      <c r="E29" s="10">
        <v>2.0</v>
      </c>
      <c r="F29" s="10">
        <v>0.0</v>
      </c>
      <c r="G29" s="3" t="str">
        <f t="shared" si="1"/>
        <v>Ecuador</v>
      </c>
    </row>
    <row r="30" ht="14.25" customHeight="1">
      <c r="A30" s="3">
        <v>29.0</v>
      </c>
      <c r="B30" s="3" t="s">
        <v>49</v>
      </c>
      <c r="C30" s="2" t="s">
        <v>50</v>
      </c>
      <c r="D30" s="2" t="s">
        <v>53</v>
      </c>
      <c r="E30" s="10">
        <v>4.0</v>
      </c>
      <c r="F30" s="10">
        <v>0.0</v>
      </c>
      <c r="G30" s="3" t="str">
        <f t="shared" si="1"/>
        <v>Germany</v>
      </c>
    </row>
    <row r="31" ht="14.25" customHeight="1">
      <c r="A31" s="3">
        <v>30.0</v>
      </c>
      <c r="B31" s="3" t="s">
        <v>49</v>
      </c>
      <c r="C31" s="2" t="s">
        <v>51</v>
      </c>
      <c r="D31" s="2" t="s">
        <v>52</v>
      </c>
      <c r="E31" s="10">
        <v>1.0</v>
      </c>
      <c r="F31" s="10">
        <v>2.0</v>
      </c>
      <c r="G31" s="3" t="str">
        <f t="shared" si="1"/>
        <v>Ivory Coast</v>
      </c>
    </row>
    <row r="32" ht="14.25" customHeight="1">
      <c r="A32" s="3">
        <v>31.0</v>
      </c>
      <c r="B32" s="3" t="s">
        <v>54</v>
      </c>
      <c r="C32" s="2" t="s">
        <v>55</v>
      </c>
      <c r="D32" s="2" t="s">
        <v>56</v>
      </c>
      <c r="E32" s="10">
        <v>2.0</v>
      </c>
      <c r="F32" s="10">
        <v>0.0</v>
      </c>
      <c r="G32" s="3" t="str">
        <f t="shared" si="1"/>
        <v>Netherlands</v>
      </c>
    </row>
    <row r="33" ht="14.25" customHeight="1">
      <c r="A33" s="3">
        <v>32.0</v>
      </c>
      <c r="B33" s="3" t="s">
        <v>54</v>
      </c>
      <c r="C33" s="2" t="s">
        <v>57</v>
      </c>
      <c r="D33" s="2" t="s">
        <v>58</v>
      </c>
      <c r="E33" s="10">
        <v>1.0</v>
      </c>
      <c r="F33" s="10">
        <v>2.0</v>
      </c>
      <c r="G33" s="3" t="str">
        <f t="shared" si="1"/>
        <v>Sweden</v>
      </c>
    </row>
    <row r="34" ht="14.25" customHeight="1">
      <c r="A34" s="3">
        <v>33.0</v>
      </c>
      <c r="B34" s="3" t="s">
        <v>54</v>
      </c>
      <c r="C34" s="2" t="s">
        <v>55</v>
      </c>
      <c r="D34" s="2" t="s">
        <v>57</v>
      </c>
      <c r="E34" s="10">
        <v>2.0</v>
      </c>
      <c r="F34" s="10">
        <v>1.0</v>
      </c>
      <c r="G34" s="3" t="str">
        <f t="shared" si="1"/>
        <v>Netherlands</v>
      </c>
    </row>
    <row r="35" ht="14.25" customHeight="1">
      <c r="A35" s="3">
        <v>34.0</v>
      </c>
      <c r="B35" s="3" t="s">
        <v>54</v>
      </c>
      <c r="C35" s="2" t="s">
        <v>56</v>
      </c>
      <c r="D35" s="2" t="s">
        <v>58</v>
      </c>
      <c r="E35" s="10">
        <v>1.0</v>
      </c>
      <c r="F35" s="10">
        <v>3.0</v>
      </c>
      <c r="G35" s="3" t="str">
        <f t="shared" si="1"/>
        <v>Sweden</v>
      </c>
    </row>
    <row r="36" ht="14.25" customHeight="1">
      <c r="A36" s="3">
        <v>35.0</v>
      </c>
      <c r="B36" s="3" t="s">
        <v>54</v>
      </c>
      <c r="C36" s="2" t="s">
        <v>55</v>
      </c>
      <c r="D36" s="2" t="s">
        <v>58</v>
      </c>
      <c r="E36" s="10">
        <v>2.0</v>
      </c>
      <c r="F36" s="10">
        <v>1.0</v>
      </c>
      <c r="G36" s="3" t="str">
        <f t="shared" si="1"/>
        <v>Netherlands</v>
      </c>
    </row>
    <row r="37" ht="14.25" customHeight="1">
      <c r="A37" s="3">
        <v>36.0</v>
      </c>
      <c r="B37" s="3" t="s">
        <v>54</v>
      </c>
      <c r="C37" s="2" t="s">
        <v>56</v>
      </c>
      <c r="D37" s="2" t="s">
        <v>57</v>
      </c>
      <c r="E37" s="10">
        <v>1.0</v>
      </c>
      <c r="F37" s="10">
        <v>1.0</v>
      </c>
      <c r="G37" s="3" t="str">
        <f t="shared" si="1"/>
        <v>Draw</v>
      </c>
    </row>
    <row r="38" ht="14.25" customHeight="1">
      <c r="A38" s="3">
        <v>37.0</v>
      </c>
      <c r="B38" s="3" t="s">
        <v>59</v>
      </c>
      <c r="C38" s="2" t="s">
        <v>60</v>
      </c>
      <c r="D38" s="2" t="s">
        <v>61</v>
      </c>
      <c r="E38" s="10">
        <v>4.0</v>
      </c>
      <c r="F38" s="10">
        <v>0.0</v>
      </c>
      <c r="G38" s="3" t="str">
        <f t="shared" si="1"/>
        <v>Belgium</v>
      </c>
    </row>
    <row r="39" ht="14.25" customHeight="1">
      <c r="A39" s="3">
        <v>38.0</v>
      </c>
      <c r="B39" s="3" t="s">
        <v>59</v>
      </c>
      <c r="C39" s="2" t="s">
        <v>62</v>
      </c>
      <c r="D39" s="2" t="s">
        <v>63</v>
      </c>
      <c r="E39" s="10">
        <v>3.0</v>
      </c>
      <c r="F39" s="10">
        <v>1.0</v>
      </c>
      <c r="G39" s="3" t="str">
        <f t="shared" si="1"/>
        <v>Egypt</v>
      </c>
    </row>
    <row r="40" ht="14.25" customHeight="1">
      <c r="A40" s="3">
        <v>39.0</v>
      </c>
      <c r="B40" s="3" t="s">
        <v>59</v>
      </c>
      <c r="C40" s="2" t="s">
        <v>60</v>
      </c>
      <c r="D40" s="2" t="s">
        <v>62</v>
      </c>
      <c r="E40" s="10">
        <v>2.0</v>
      </c>
      <c r="F40" s="10">
        <v>2.0</v>
      </c>
      <c r="G40" s="3" t="str">
        <f t="shared" si="1"/>
        <v>Draw</v>
      </c>
    </row>
    <row r="41" ht="14.25" customHeight="1">
      <c r="A41" s="3">
        <v>40.0</v>
      </c>
      <c r="B41" s="3" t="s">
        <v>59</v>
      </c>
      <c r="C41" s="2" t="s">
        <v>61</v>
      </c>
      <c r="D41" s="2" t="s">
        <v>63</v>
      </c>
      <c r="E41" s="10">
        <v>1.0</v>
      </c>
      <c r="F41" s="10">
        <v>1.0</v>
      </c>
      <c r="G41" s="3" t="str">
        <f t="shared" si="1"/>
        <v>Draw</v>
      </c>
    </row>
    <row r="42" ht="14.25" customHeight="1">
      <c r="A42" s="3">
        <v>41.0</v>
      </c>
      <c r="B42" s="3" t="s">
        <v>59</v>
      </c>
      <c r="C42" s="2" t="s">
        <v>60</v>
      </c>
      <c r="D42" s="2" t="s">
        <v>63</v>
      </c>
      <c r="E42" s="10">
        <v>3.0</v>
      </c>
      <c r="F42" s="10">
        <v>0.0</v>
      </c>
      <c r="G42" s="3" t="str">
        <f t="shared" si="1"/>
        <v>Belgium</v>
      </c>
    </row>
    <row r="43" ht="14.25" customHeight="1">
      <c r="A43" s="3">
        <v>42.0</v>
      </c>
      <c r="B43" s="3" t="s">
        <v>59</v>
      </c>
      <c r="C43" s="2" t="s">
        <v>61</v>
      </c>
      <c r="D43" s="2" t="s">
        <v>62</v>
      </c>
      <c r="E43" s="10">
        <v>0.0</v>
      </c>
      <c r="F43" s="10">
        <v>2.0</v>
      </c>
      <c r="G43" s="3" t="str">
        <f t="shared" si="1"/>
        <v>Egypt</v>
      </c>
    </row>
    <row r="44" ht="14.25" customHeight="1">
      <c r="A44" s="3">
        <v>43.0</v>
      </c>
      <c r="B44" s="3" t="s">
        <v>64</v>
      </c>
      <c r="C44" s="2" t="s">
        <v>65</v>
      </c>
      <c r="D44" s="2" t="s">
        <v>66</v>
      </c>
      <c r="E44" s="10">
        <v>4.0</v>
      </c>
      <c r="F44" s="10">
        <v>0.0</v>
      </c>
      <c r="G44" s="3" t="str">
        <f t="shared" si="1"/>
        <v>Spain</v>
      </c>
    </row>
    <row r="45" ht="14.25" customHeight="1">
      <c r="A45" s="3">
        <v>44.0</v>
      </c>
      <c r="B45" s="3" t="s">
        <v>64</v>
      </c>
      <c r="C45" s="2" t="s">
        <v>67</v>
      </c>
      <c r="D45" s="2" t="s">
        <v>68</v>
      </c>
      <c r="E45" s="10">
        <v>2.0</v>
      </c>
      <c r="F45" s="10">
        <v>0.0</v>
      </c>
      <c r="G45" s="3" t="str">
        <f t="shared" si="1"/>
        <v>Saudi Arabia</v>
      </c>
    </row>
    <row r="46" ht="14.25" customHeight="1">
      <c r="A46" s="3">
        <v>45.0</v>
      </c>
      <c r="B46" s="3" t="s">
        <v>64</v>
      </c>
      <c r="C46" s="2" t="s">
        <v>65</v>
      </c>
      <c r="D46" s="2" t="s">
        <v>67</v>
      </c>
      <c r="E46" s="10">
        <v>3.0</v>
      </c>
      <c r="F46" s="10">
        <v>0.0</v>
      </c>
      <c r="G46" s="3" t="str">
        <f t="shared" si="1"/>
        <v>Spain</v>
      </c>
    </row>
    <row r="47" ht="14.25" customHeight="1">
      <c r="A47" s="3">
        <v>46.0</v>
      </c>
      <c r="B47" s="3" t="s">
        <v>64</v>
      </c>
      <c r="C47" s="2" t="s">
        <v>66</v>
      </c>
      <c r="D47" s="2" t="s">
        <v>68</v>
      </c>
      <c r="E47" s="10">
        <v>3.0</v>
      </c>
      <c r="F47" s="10">
        <v>0.0</v>
      </c>
      <c r="G47" s="3" t="str">
        <f t="shared" si="1"/>
        <v>Uruguay</v>
      </c>
    </row>
    <row r="48" ht="14.25" customHeight="1">
      <c r="A48" s="3">
        <v>47.0</v>
      </c>
      <c r="B48" s="3" t="s">
        <v>64</v>
      </c>
      <c r="C48" s="2" t="s">
        <v>65</v>
      </c>
      <c r="D48" s="2" t="s">
        <v>68</v>
      </c>
      <c r="E48" s="10">
        <v>6.0</v>
      </c>
      <c r="F48" s="10">
        <v>0.0</v>
      </c>
      <c r="G48" s="3" t="str">
        <f t="shared" si="1"/>
        <v>Spain</v>
      </c>
    </row>
    <row r="49" ht="14.25" customHeight="1">
      <c r="A49" s="3">
        <v>48.0</v>
      </c>
      <c r="B49" s="3" t="s">
        <v>64</v>
      </c>
      <c r="C49" s="2" t="s">
        <v>66</v>
      </c>
      <c r="D49" s="2" t="s">
        <v>67</v>
      </c>
      <c r="E49" s="10">
        <v>2.0</v>
      </c>
      <c r="F49" s="10">
        <v>1.0</v>
      </c>
      <c r="G49" s="3" t="str">
        <f t="shared" si="1"/>
        <v>Uruguay</v>
      </c>
    </row>
    <row r="50" ht="14.25" customHeight="1">
      <c r="A50" s="3">
        <v>49.0</v>
      </c>
      <c r="B50" s="3" t="s">
        <v>69</v>
      </c>
      <c r="C50" s="2" t="s">
        <v>70</v>
      </c>
      <c r="D50" s="2" t="s">
        <v>71</v>
      </c>
      <c r="E50" s="10">
        <v>3.0</v>
      </c>
      <c r="F50" s="10">
        <v>1.0</v>
      </c>
      <c r="G50" s="3" t="str">
        <f t="shared" si="1"/>
        <v>France</v>
      </c>
    </row>
    <row r="51" ht="14.25" customHeight="1">
      <c r="A51" s="3">
        <v>50.0</v>
      </c>
      <c r="B51" s="3" t="s">
        <v>69</v>
      </c>
      <c r="C51" s="2" t="s">
        <v>72</v>
      </c>
      <c r="D51" s="2" t="s">
        <v>73</v>
      </c>
      <c r="E51" s="10">
        <v>3.0</v>
      </c>
      <c r="F51" s="10">
        <v>0.0</v>
      </c>
      <c r="G51" s="3" t="str">
        <f t="shared" si="1"/>
        <v>Norway</v>
      </c>
    </row>
    <row r="52" ht="14.25" customHeight="1">
      <c r="A52" s="3">
        <v>51.0</v>
      </c>
      <c r="B52" s="3" t="s">
        <v>69</v>
      </c>
      <c r="C52" s="2" t="s">
        <v>70</v>
      </c>
      <c r="D52" s="2" t="s">
        <v>72</v>
      </c>
      <c r="E52" s="10">
        <v>2.0</v>
      </c>
      <c r="F52" s="10">
        <v>1.0</v>
      </c>
      <c r="G52" s="3" t="str">
        <f t="shared" si="1"/>
        <v>France</v>
      </c>
    </row>
    <row r="53" ht="14.25" customHeight="1">
      <c r="A53" s="3">
        <v>52.0</v>
      </c>
      <c r="B53" s="3" t="s">
        <v>69</v>
      </c>
      <c r="C53" s="2" t="s">
        <v>71</v>
      </c>
      <c r="D53" s="2" t="s">
        <v>73</v>
      </c>
      <c r="E53" s="10">
        <v>2.0</v>
      </c>
      <c r="F53" s="10">
        <v>0.0</v>
      </c>
      <c r="G53" s="3" t="str">
        <f t="shared" si="1"/>
        <v>Senegal</v>
      </c>
    </row>
    <row r="54" ht="14.25" customHeight="1">
      <c r="A54" s="3">
        <v>53.0</v>
      </c>
      <c r="B54" s="3" t="s">
        <v>69</v>
      </c>
      <c r="C54" s="2" t="s">
        <v>70</v>
      </c>
      <c r="D54" s="2" t="s">
        <v>73</v>
      </c>
      <c r="E54" s="10">
        <v>3.0</v>
      </c>
      <c r="F54" s="10">
        <v>0.0</v>
      </c>
      <c r="G54" s="3" t="str">
        <f t="shared" si="1"/>
        <v>France</v>
      </c>
    </row>
    <row r="55" ht="14.25" customHeight="1">
      <c r="A55" s="3">
        <v>54.0</v>
      </c>
      <c r="B55" s="3" t="s">
        <v>69</v>
      </c>
      <c r="C55" s="2" t="s">
        <v>71</v>
      </c>
      <c r="D55" s="2" t="s">
        <v>72</v>
      </c>
      <c r="E55" s="10">
        <v>2.0</v>
      </c>
      <c r="F55" s="10">
        <v>2.0</v>
      </c>
      <c r="G55" s="3" t="str">
        <f t="shared" si="1"/>
        <v>Draw</v>
      </c>
    </row>
    <row r="56" ht="14.25" customHeight="1">
      <c r="A56" s="3">
        <v>55.0</v>
      </c>
      <c r="B56" s="3" t="s">
        <v>74</v>
      </c>
      <c r="C56" s="2" t="s">
        <v>75</v>
      </c>
      <c r="D56" s="2" t="s">
        <v>76</v>
      </c>
      <c r="E56" s="10">
        <v>2.0</v>
      </c>
      <c r="F56" s="10">
        <v>1.0</v>
      </c>
      <c r="G56" s="3" t="str">
        <f t="shared" si="1"/>
        <v>Argentina</v>
      </c>
    </row>
    <row r="57" ht="14.25" customHeight="1">
      <c r="A57" s="3">
        <v>56.0</v>
      </c>
      <c r="B57" s="3" t="s">
        <v>74</v>
      </c>
      <c r="C57" s="2" t="s">
        <v>77</v>
      </c>
      <c r="D57" s="2" t="s">
        <v>78</v>
      </c>
      <c r="E57" s="10">
        <v>3.0</v>
      </c>
      <c r="F57" s="10">
        <v>0.0</v>
      </c>
      <c r="G57" s="3" t="str">
        <f t="shared" si="1"/>
        <v>Algeria</v>
      </c>
    </row>
    <row r="58" ht="14.25" customHeight="1">
      <c r="A58" s="3">
        <v>57.0</v>
      </c>
      <c r="B58" s="3" t="s">
        <v>74</v>
      </c>
      <c r="C58" s="2" t="s">
        <v>75</v>
      </c>
      <c r="D58" s="2" t="s">
        <v>77</v>
      </c>
      <c r="E58" s="10">
        <v>2.0</v>
      </c>
      <c r="F58" s="10">
        <v>0.0</v>
      </c>
      <c r="G58" s="3" t="str">
        <f t="shared" si="1"/>
        <v>Argentina</v>
      </c>
    </row>
    <row r="59" ht="14.25" customHeight="1">
      <c r="A59" s="3">
        <v>58.0</v>
      </c>
      <c r="B59" s="3" t="s">
        <v>74</v>
      </c>
      <c r="C59" s="2" t="s">
        <v>76</v>
      </c>
      <c r="D59" s="2" t="s">
        <v>78</v>
      </c>
      <c r="E59" s="10">
        <v>1.0</v>
      </c>
      <c r="F59" s="10">
        <v>0.0</v>
      </c>
      <c r="G59" s="3" t="str">
        <f t="shared" si="1"/>
        <v>Austria</v>
      </c>
    </row>
    <row r="60" ht="14.25" customHeight="1">
      <c r="A60" s="3">
        <v>59.0</v>
      </c>
      <c r="B60" s="3" t="s">
        <v>74</v>
      </c>
      <c r="C60" s="2" t="s">
        <v>75</v>
      </c>
      <c r="D60" s="2" t="s">
        <v>78</v>
      </c>
      <c r="E60" s="10">
        <v>4.0</v>
      </c>
      <c r="F60" s="10">
        <v>0.0</v>
      </c>
      <c r="G60" s="3" t="str">
        <f t="shared" si="1"/>
        <v>Argentina</v>
      </c>
    </row>
    <row r="61" ht="14.25" customHeight="1">
      <c r="A61" s="3">
        <v>60.0</v>
      </c>
      <c r="B61" s="3" t="s">
        <v>74</v>
      </c>
      <c r="C61" s="2" t="s">
        <v>76</v>
      </c>
      <c r="D61" s="2" t="s">
        <v>77</v>
      </c>
      <c r="E61" s="10">
        <v>1.0</v>
      </c>
      <c r="F61" s="10">
        <v>1.0</v>
      </c>
      <c r="G61" s="3" t="str">
        <f t="shared" si="1"/>
        <v>Draw</v>
      </c>
    </row>
    <row r="62" ht="14.25" customHeight="1">
      <c r="A62" s="3">
        <v>61.0</v>
      </c>
      <c r="B62" s="3" t="s">
        <v>79</v>
      </c>
      <c r="C62" s="2" t="s">
        <v>80</v>
      </c>
      <c r="D62" s="2" t="s">
        <v>81</v>
      </c>
      <c r="E62" s="10">
        <v>2.0</v>
      </c>
      <c r="F62" s="10">
        <v>1.0</v>
      </c>
      <c r="G62" s="3" t="str">
        <f t="shared" si="1"/>
        <v>Portugal</v>
      </c>
    </row>
    <row r="63" ht="14.25" customHeight="1">
      <c r="A63" s="3">
        <v>62.0</v>
      </c>
      <c r="B63" s="3" t="s">
        <v>79</v>
      </c>
      <c r="C63" s="2" t="s">
        <v>82</v>
      </c>
      <c r="D63" s="2" t="s">
        <v>83</v>
      </c>
      <c r="E63" s="10">
        <v>1.0</v>
      </c>
      <c r="F63" s="10">
        <v>1.0</v>
      </c>
      <c r="G63" s="3" t="str">
        <f t="shared" si="1"/>
        <v>Draw</v>
      </c>
    </row>
    <row r="64" ht="14.25" customHeight="1">
      <c r="A64" s="3">
        <v>63.0</v>
      </c>
      <c r="B64" s="3" t="s">
        <v>79</v>
      </c>
      <c r="C64" s="2" t="s">
        <v>80</v>
      </c>
      <c r="D64" s="2" t="s">
        <v>82</v>
      </c>
      <c r="E64" s="10">
        <v>3.0</v>
      </c>
      <c r="F64" s="10">
        <v>1.0</v>
      </c>
      <c r="G64" s="3" t="str">
        <f t="shared" si="1"/>
        <v>Portugal</v>
      </c>
    </row>
    <row r="65" ht="14.25" customHeight="1">
      <c r="A65" s="3">
        <v>64.0</v>
      </c>
      <c r="B65" s="3" t="s">
        <v>79</v>
      </c>
      <c r="C65" s="2" t="s">
        <v>81</v>
      </c>
      <c r="D65" s="2" t="s">
        <v>83</v>
      </c>
      <c r="E65" s="10">
        <v>1.0</v>
      </c>
      <c r="F65" s="10">
        <v>0.0</v>
      </c>
      <c r="G65" s="3" t="str">
        <f t="shared" si="1"/>
        <v>Colombia</v>
      </c>
    </row>
    <row r="66" ht="14.25" customHeight="1">
      <c r="A66" s="3">
        <v>65.0</v>
      </c>
      <c r="B66" s="3" t="s">
        <v>79</v>
      </c>
      <c r="C66" s="2" t="s">
        <v>80</v>
      </c>
      <c r="D66" s="2" t="s">
        <v>83</v>
      </c>
      <c r="E66" s="10">
        <v>2.0</v>
      </c>
      <c r="F66" s="10">
        <v>0.0</v>
      </c>
      <c r="G66" s="3" t="str">
        <f t="shared" si="1"/>
        <v>Portugal</v>
      </c>
    </row>
    <row r="67" ht="14.25" customHeight="1">
      <c r="A67" s="3">
        <v>66.0</v>
      </c>
      <c r="B67" s="3" t="s">
        <v>79</v>
      </c>
      <c r="C67" s="2" t="s">
        <v>81</v>
      </c>
      <c r="D67" s="2" t="s">
        <v>82</v>
      </c>
      <c r="E67" s="10">
        <v>1.0</v>
      </c>
      <c r="F67" s="10">
        <v>0.0</v>
      </c>
      <c r="G67" s="3" t="str">
        <f t="shared" si="1"/>
        <v>Colombia</v>
      </c>
    </row>
    <row r="68" ht="14.25" customHeight="1">
      <c r="A68" s="3">
        <v>67.0</v>
      </c>
      <c r="B68" s="3" t="s">
        <v>84</v>
      </c>
      <c r="C68" s="2" t="s">
        <v>85</v>
      </c>
      <c r="D68" s="2" t="s">
        <v>86</v>
      </c>
      <c r="E68" s="10">
        <v>2.0</v>
      </c>
      <c r="F68" s="10">
        <v>0.0</v>
      </c>
      <c r="G68" s="3" t="str">
        <f t="shared" si="1"/>
        <v>England</v>
      </c>
    </row>
    <row r="69" ht="14.25" customHeight="1">
      <c r="A69" s="3">
        <v>68.0</v>
      </c>
      <c r="B69" s="3" t="s">
        <v>84</v>
      </c>
      <c r="C69" s="2" t="s">
        <v>87</v>
      </c>
      <c r="D69" s="2" t="s">
        <v>88</v>
      </c>
      <c r="E69" s="10">
        <v>0.0</v>
      </c>
      <c r="F69" s="10">
        <v>1.0</v>
      </c>
      <c r="G69" s="3" t="str">
        <f t="shared" si="1"/>
        <v>Ghana</v>
      </c>
    </row>
    <row r="70" ht="14.25" customHeight="1">
      <c r="A70" s="3">
        <v>69.0</v>
      </c>
      <c r="B70" s="3" t="s">
        <v>84</v>
      </c>
      <c r="C70" s="2" t="s">
        <v>85</v>
      </c>
      <c r="D70" s="2" t="s">
        <v>87</v>
      </c>
      <c r="E70" s="10">
        <v>3.0</v>
      </c>
      <c r="F70" s="10">
        <v>0.0</v>
      </c>
      <c r="G70" s="3" t="str">
        <f t="shared" si="1"/>
        <v>England</v>
      </c>
    </row>
    <row r="71" ht="14.25" customHeight="1">
      <c r="A71" s="3">
        <v>70.0</v>
      </c>
      <c r="B71" s="3" t="s">
        <v>84</v>
      </c>
      <c r="C71" s="2" t="s">
        <v>86</v>
      </c>
      <c r="D71" s="2" t="s">
        <v>88</v>
      </c>
      <c r="E71" s="10">
        <v>1.0</v>
      </c>
      <c r="F71" s="10">
        <v>2.0</v>
      </c>
      <c r="G71" s="3" t="str">
        <f t="shared" si="1"/>
        <v>Ghana</v>
      </c>
    </row>
    <row r="72" ht="14.25" customHeight="1">
      <c r="A72" s="3">
        <v>71.0</v>
      </c>
      <c r="B72" s="3" t="s">
        <v>84</v>
      </c>
      <c r="C72" s="2" t="s">
        <v>85</v>
      </c>
      <c r="D72" s="2" t="s">
        <v>88</v>
      </c>
      <c r="E72" s="10">
        <v>3.0</v>
      </c>
      <c r="F72" s="10">
        <v>1.0</v>
      </c>
      <c r="G72" s="3" t="str">
        <f t="shared" si="1"/>
        <v>England</v>
      </c>
    </row>
    <row r="73" ht="14.25" customHeight="1">
      <c r="A73" s="3">
        <v>72.0</v>
      </c>
      <c r="B73" s="3" t="s">
        <v>84</v>
      </c>
      <c r="C73" s="2" t="s">
        <v>86</v>
      </c>
      <c r="D73" s="2" t="s">
        <v>87</v>
      </c>
      <c r="E73" s="10">
        <v>2.0</v>
      </c>
      <c r="F73" s="10">
        <v>0.0</v>
      </c>
      <c r="G73" s="3" t="str">
        <f t="shared" si="1"/>
        <v>Croatia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8.0"/>
    <col customWidth="1" min="4" max="4" width="16.0"/>
    <col customWidth="1" min="5" max="5" width="12.0"/>
    <col customWidth="1" min="6" max="6" width="14.0"/>
    <col customWidth="1" min="7" max="7" width="12.0"/>
    <col customWidth="1" min="8" max="9" width="9.0"/>
  </cols>
  <sheetData>
    <row r="1" ht="14.25" customHeight="1">
      <c r="A1" s="1" t="s">
        <v>89</v>
      </c>
      <c r="B1" s="1" t="s">
        <v>90</v>
      </c>
      <c r="C1" s="1" t="s">
        <v>20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ht="14.25" customHeight="1">
      <c r="A2" s="2" t="s">
        <v>28</v>
      </c>
      <c r="B2" s="3" t="str">
        <f t="shared" ref="B2:B49" si="1">C2&amp;D2</f>
        <v>A1</v>
      </c>
      <c r="C2" s="3" t="s">
        <v>27</v>
      </c>
      <c r="D2" s="10">
        <v>1.0</v>
      </c>
      <c r="E2" s="10">
        <v>1.0</v>
      </c>
      <c r="F2" s="10"/>
      <c r="G2" s="10"/>
      <c r="H2" s="10"/>
      <c r="I2" s="10"/>
    </row>
    <row r="3" ht="14.25" customHeight="1">
      <c r="A3" s="2" t="s">
        <v>29</v>
      </c>
      <c r="B3" s="3" t="str">
        <f t="shared" si="1"/>
        <v>A2</v>
      </c>
      <c r="C3" s="3" t="s">
        <v>27</v>
      </c>
      <c r="D3" s="10">
        <v>2.0</v>
      </c>
      <c r="E3" s="10"/>
      <c r="F3" s="10"/>
      <c r="G3" s="10"/>
      <c r="H3" s="10"/>
      <c r="I3" s="10"/>
    </row>
    <row r="4" ht="14.25" customHeight="1">
      <c r="A4" s="2" t="s">
        <v>30</v>
      </c>
      <c r="B4" s="3" t="str">
        <f t="shared" si="1"/>
        <v>A3</v>
      </c>
      <c r="C4" s="3" t="s">
        <v>27</v>
      </c>
      <c r="D4" s="10">
        <v>3.0</v>
      </c>
      <c r="E4" s="10"/>
      <c r="F4" s="10"/>
      <c r="G4" s="10"/>
      <c r="H4" s="10"/>
      <c r="I4" s="10"/>
    </row>
    <row r="5" ht="14.25" customHeight="1">
      <c r="A5" s="2" t="s">
        <v>31</v>
      </c>
      <c r="B5" s="3" t="str">
        <f t="shared" si="1"/>
        <v>A4</v>
      </c>
      <c r="C5" s="3" t="s">
        <v>27</v>
      </c>
      <c r="D5" s="10">
        <v>4.0</v>
      </c>
      <c r="E5" s="10"/>
      <c r="F5" s="10"/>
      <c r="G5" s="10"/>
      <c r="H5" s="10"/>
      <c r="I5" s="10"/>
    </row>
    <row r="6" ht="14.25" customHeight="1">
      <c r="A6" s="2" t="s">
        <v>35</v>
      </c>
      <c r="B6" s="3" t="str">
        <f t="shared" si="1"/>
        <v>B3</v>
      </c>
      <c r="C6" s="3" t="s">
        <v>34</v>
      </c>
      <c r="D6" s="10">
        <v>3.0</v>
      </c>
      <c r="E6" s="10"/>
      <c r="F6" s="10"/>
      <c r="G6" s="10"/>
      <c r="H6" s="10"/>
      <c r="I6" s="10"/>
    </row>
    <row r="7" ht="14.25" customHeight="1">
      <c r="A7" s="2" t="s">
        <v>36</v>
      </c>
      <c r="B7" s="3" t="str">
        <f t="shared" si="1"/>
        <v>B1</v>
      </c>
      <c r="C7" s="3" t="s">
        <v>34</v>
      </c>
      <c r="D7" s="10">
        <v>1.0</v>
      </c>
      <c r="E7" s="10">
        <v>1.0</v>
      </c>
      <c r="F7" s="10"/>
      <c r="G7" s="10"/>
      <c r="H7" s="10"/>
      <c r="I7" s="10"/>
    </row>
    <row r="8" ht="14.25" customHeight="1">
      <c r="A8" s="2" t="s">
        <v>37</v>
      </c>
      <c r="B8" s="3" t="str">
        <f t="shared" si="1"/>
        <v>B4</v>
      </c>
      <c r="C8" s="3" t="s">
        <v>34</v>
      </c>
      <c r="D8" s="10">
        <v>4.0</v>
      </c>
      <c r="E8" s="10"/>
      <c r="F8" s="10"/>
      <c r="G8" s="10"/>
      <c r="H8" s="10"/>
      <c r="I8" s="10"/>
    </row>
    <row r="9" ht="14.25" customHeight="1">
      <c r="A9" s="2" t="s">
        <v>38</v>
      </c>
      <c r="B9" s="3" t="str">
        <f t="shared" si="1"/>
        <v>B2</v>
      </c>
      <c r="C9" s="3" t="s">
        <v>34</v>
      </c>
      <c r="D9" s="10">
        <v>2.0</v>
      </c>
      <c r="E9" s="10"/>
      <c r="F9" s="10"/>
      <c r="G9" s="10"/>
      <c r="H9" s="10"/>
      <c r="I9" s="10"/>
    </row>
    <row r="10" ht="14.25" customHeight="1">
      <c r="A10" s="2" t="s">
        <v>40</v>
      </c>
      <c r="B10" s="3" t="str">
        <f t="shared" si="1"/>
        <v>C1</v>
      </c>
      <c r="C10" s="3" t="s">
        <v>39</v>
      </c>
      <c r="D10" s="10">
        <v>1.0</v>
      </c>
      <c r="E10" s="10">
        <v>1.0</v>
      </c>
      <c r="F10" s="10">
        <v>1.0</v>
      </c>
      <c r="G10" s="10">
        <v>1.0</v>
      </c>
      <c r="H10" s="10"/>
      <c r="I10" s="10"/>
    </row>
    <row r="11" ht="14.25" customHeight="1">
      <c r="A11" s="2" t="s">
        <v>41</v>
      </c>
      <c r="B11" s="3" t="str">
        <f t="shared" si="1"/>
        <v>C3</v>
      </c>
      <c r="C11" s="3" t="s">
        <v>39</v>
      </c>
      <c r="D11" s="10">
        <v>3.0</v>
      </c>
      <c r="E11" s="10"/>
      <c r="F11" s="10"/>
      <c r="G11" s="10"/>
      <c r="H11" s="10"/>
      <c r="I11" s="10"/>
    </row>
    <row r="12" ht="14.25" customHeight="1">
      <c r="A12" s="2" t="s">
        <v>42</v>
      </c>
      <c r="B12" s="3" t="str">
        <f t="shared" si="1"/>
        <v>C2</v>
      </c>
      <c r="C12" s="3" t="s">
        <v>39</v>
      </c>
      <c r="D12" s="10">
        <v>2.0</v>
      </c>
      <c r="E12" s="10"/>
      <c r="F12" s="10"/>
      <c r="G12" s="10"/>
      <c r="H12" s="10"/>
      <c r="I12" s="10"/>
    </row>
    <row r="13" ht="14.25" customHeight="1">
      <c r="A13" s="2" t="s">
        <v>43</v>
      </c>
      <c r="B13" s="3" t="str">
        <f t="shared" si="1"/>
        <v>C4</v>
      </c>
      <c r="C13" s="3" t="s">
        <v>39</v>
      </c>
      <c r="D13" s="10">
        <v>4.0</v>
      </c>
      <c r="E13" s="10"/>
      <c r="F13" s="10"/>
      <c r="G13" s="10"/>
      <c r="H13" s="10"/>
      <c r="I13" s="10"/>
    </row>
    <row r="14" ht="14.25" customHeight="1">
      <c r="A14" s="2" t="s">
        <v>45</v>
      </c>
      <c r="B14" s="3" t="str">
        <f t="shared" si="1"/>
        <v>D3</v>
      </c>
      <c r="C14" s="3" t="s">
        <v>44</v>
      </c>
      <c r="D14" s="10">
        <v>3.0</v>
      </c>
      <c r="E14" s="10"/>
      <c r="F14" s="10"/>
      <c r="G14" s="10"/>
      <c r="H14" s="10"/>
      <c r="I14" s="10"/>
    </row>
    <row r="15" ht="14.25" customHeight="1">
      <c r="A15" s="2" t="s">
        <v>46</v>
      </c>
      <c r="B15" s="3" t="str">
        <f t="shared" si="1"/>
        <v>D4</v>
      </c>
      <c r="C15" s="3" t="s">
        <v>44</v>
      </c>
      <c r="D15" s="10">
        <v>4.0</v>
      </c>
      <c r="E15" s="10"/>
      <c r="F15" s="10"/>
      <c r="G15" s="10"/>
      <c r="H15" s="10"/>
      <c r="I15" s="10"/>
    </row>
    <row r="16" ht="14.25" customHeight="1">
      <c r="A16" s="2" t="s">
        <v>47</v>
      </c>
      <c r="B16" s="3" t="str">
        <f t="shared" si="1"/>
        <v>D2</v>
      </c>
      <c r="C16" s="3" t="s">
        <v>44</v>
      </c>
      <c r="D16" s="10">
        <v>2.0</v>
      </c>
      <c r="E16" s="10"/>
      <c r="F16" s="10"/>
      <c r="G16" s="10"/>
      <c r="H16" s="10"/>
      <c r="I16" s="10"/>
    </row>
    <row r="17" ht="14.25" customHeight="1">
      <c r="A17" s="2" t="s">
        <v>48</v>
      </c>
      <c r="B17" s="3" t="str">
        <f t="shared" si="1"/>
        <v>D1</v>
      </c>
      <c r="C17" s="3" t="s">
        <v>44</v>
      </c>
      <c r="D17" s="10">
        <v>1.0</v>
      </c>
      <c r="E17" s="10">
        <v>1.0</v>
      </c>
      <c r="F17" s="10"/>
      <c r="G17" s="10"/>
      <c r="H17" s="10"/>
      <c r="I17" s="10"/>
    </row>
    <row r="18" ht="14.25" customHeight="1">
      <c r="A18" s="2" t="s">
        <v>50</v>
      </c>
      <c r="B18" s="3" t="str">
        <f t="shared" si="1"/>
        <v>E1</v>
      </c>
      <c r="C18" s="3" t="s">
        <v>49</v>
      </c>
      <c r="D18" s="10">
        <v>1.0</v>
      </c>
      <c r="E18" s="10">
        <v>1.0</v>
      </c>
      <c r="F18" s="10">
        <v>1.0</v>
      </c>
      <c r="G18" s="10"/>
      <c r="H18" s="10"/>
      <c r="I18" s="10"/>
    </row>
    <row r="19" ht="14.25" customHeight="1">
      <c r="A19" s="2" t="s">
        <v>51</v>
      </c>
      <c r="B19" s="3" t="str">
        <f t="shared" si="1"/>
        <v>E3</v>
      </c>
      <c r="C19" s="3" t="s">
        <v>49</v>
      </c>
      <c r="D19" s="10">
        <v>3.0</v>
      </c>
      <c r="E19" s="10"/>
      <c r="F19" s="10"/>
      <c r="G19" s="10"/>
      <c r="H19" s="10"/>
      <c r="I19" s="10"/>
    </row>
    <row r="20" ht="14.25" customHeight="1">
      <c r="A20" s="2" t="s">
        <v>52</v>
      </c>
      <c r="B20" s="3" t="str">
        <f t="shared" si="1"/>
        <v>E2</v>
      </c>
      <c r="C20" s="3" t="s">
        <v>49</v>
      </c>
      <c r="D20" s="10">
        <v>2.0</v>
      </c>
      <c r="E20" s="10">
        <v>1.0</v>
      </c>
      <c r="F20" s="10"/>
      <c r="G20" s="10"/>
      <c r="H20" s="10"/>
      <c r="I20" s="10"/>
    </row>
    <row r="21" ht="14.25" customHeight="1">
      <c r="A21" s="2" t="s">
        <v>53</v>
      </c>
      <c r="B21" s="3" t="str">
        <f t="shared" si="1"/>
        <v>E4</v>
      </c>
      <c r="C21" s="3" t="s">
        <v>49</v>
      </c>
      <c r="D21" s="10">
        <v>4.0</v>
      </c>
      <c r="E21" s="10"/>
      <c r="F21" s="10"/>
      <c r="G21" s="10"/>
      <c r="H21" s="10"/>
      <c r="I21" s="10"/>
    </row>
    <row r="22" ht="14.25" customHeight="1">
      <c r="A22" s="2" t="s">
        <v>55</v>
      </c>
      <c r="B22" s="3" t="str">
        <f t="shared" si="1"/>
        <v>F1</v>
      </c>
      <c r="C22" s="3" t="s">
        <v>54</v>
      </c>
      <c r="D22" s="10">
        <v>1.0</v>
      </c>
      <c r="E22" s="10"/>
      <c r="F22" s="10"/>
      <c r="G22" s="10"/>
      <c r="H22" s="10"/>
      <c r="I22" s="10"/>
    </row>
    <row r="23" ht="14.25" customHeight="1">
      <c r="A23" s="2" t="s">
        <v>56</v>
      </c>
      <c r="B23" s="3" t="str">
        <f t="shared" si="1"/>
        <v>F3</v>
      </c>
      <c r="C23" s="3" t="s">
        <v>54</v>
      </c>
      <c r="D23" s="10">
        <v>3.0</v>
      </c>
      <c r="E23" s="10">
        <v>1.0</v>
      </c>
      <c r="F23" s="10"/>
      <c r="G23" s="10"/>
      <c r="H23" s="10"/>
      <c r="I23" s="10"/>
    </row>
    <row r="24" ht="14.25" customHeight="1">
      <c r="A24" s="2" t="s">
        <v>57</v>
      </c>
      <c r="B24" s="3" t="str">
        <f t="shared" si="1"/>
        <v>F4</v>
      </c>
      <c r="C24" s="3" t="s">
        <v>54</v>
      </c>
      <c r="D24" s="10">
        <v>4.0</v>
      </c>
      <c r="E24" s="10"/>
      <c r="F24" s="10"/>
      <c r="G24" s="10"/>
      <c r="H24" s="10"/>
      <c r="I24" s="10"/>
    </row>
    <row r="25" ht="14.25" customHeight="1">
      <c r="A25" s="2" t="s">
        <v>58</v>
      </c>
      <c r="B25" s="3" t="str">
        <f t="shared" si="1"/>
        <v>F2</v>
      </c>
      <c r="C25" s="3" t="s">
        <v>54</v>
      </c>
      <c r="D25" s="10">
        <v>2.0</v>
      </c>
      <c r="E25" s="10">
        <v>1.0</v>
      </c>
      <c r="F25" s="10"/>
      <c r="G25" s="10"/>
      <c r="H25" s="10"/>
      <c r="I25" s="10"/>
    </row>
    <row r="26" ht="14.25" customHeight="1">
      <c r="A26" s="2" t="s">
        <v>60</v>
      </c>
      <c r="B26" s="3" t="str">
        <f t="shared" si="1"/>
        <v>G1</v>
      </c>
      <c r="C26" s="3" t="s">
        <v>59</v>
      </c>
      <c r="D26" s="10">
        <v>1.0</v>
      </c>
      <c r="E26" s="10">
        <v>1.0</v>
      </c>
      <c r="F26" s="10">
        <v>1.0</v>
      </c>
      <c r="G26" s="10"/>
      <c r="H26" s="10"/>
      <c r="I26" s="10"/>
    </row>
    <row r="27" ht="14.25" customHeight="1">
      <c r="A27" s="2" t="s">
        <v>61</v>
      </c>
      <c r="B27" s="3" t="str">
        <f t="shared" si="1"/>
        <v>G4</v>
      </c>
      <c r="C27" s="3" t="s">
        <v>59</v>
      </c>
      <c r="D27" s="10">
        <v>4.0</v>
      </c>
      <c r="E27" s="10"/>
      <c r="F27" s="10"/>
      <c r="G27" s="10"/>
      <c r="H27" s="10"/>
      <c r="I27" s="10"/>
    </row>
    <row r="28" ht="14.25" customHeight="1">
      <c r="A28" s="2" t="s">
        <v>62</v>
      </c>
      <c r="B28" s="3" t="str">
        <f t="shared" si="1"/>
        <v>G2</v>
      </c>
      <c r="C28" s="3" t="s">
        <v>59</v>
      </c>
      <c r="D28" s="10">
        <v>2.0</v>
      </c>
      <c r="E28" s="10"/>
      <c r="F28" s="10"/>
      <c r="G28" s="10"/>
      <c r="H28" s="10"/>
      <c r="I28" s="10"/>
    </row>
    <row r="29" ht="14.25" customHeight="1">
      <c r="A29" s="2" t="s">
        <v>63</v>
      </c>
      <c r="B29" s="3" t="str">
        <f t="shared" si="1"/>
        <v>G3</v>
      </c>
      <c r="C29" s="3" t="s">
        <v>59</v>
      </c>
      <c r="D29" s="10">
        <v>3.0</v>
      </c>
      <c r="E29" s="10"/>
      <c r="F29" s="10"/>
      <c r="G29" s="10"/>
      <c r="H29" s="10"/>
      <c r="I29" s="10"/>
    </row>
    <row r="30" ht="14.25" customHeight="1">
      <c r="A30" s="2" t="s">
        <v>65</v>
      </c>
      <c r="B30" s="3" t="str">
        <f t="shared" si="1"/>
        <v>H1</v>
      </c>
      <c r="C30" s="3" t="s">
        <v>64</v>
      </c>
      <c r="D30" s="10">
        <v>1.0</v>
      </c>
      <c r="E30" s="10">
        <v>1.0</v>
      </c>
      <c r="F30" s="10">
        <v>1.0</v>
      </c>
      <c r="G30" s="10">
        <v>1.0</v>
      </c>
      <c r="H30" s="10">
        <v>1.0</v>
      </c>
      <c r="I30" s="10">
        <v>1.0</v>
      </c>
    </row>
    <row r="31" ht="14.25" customHeight="1">
      <c r="A31" s="2" t="s">
        <v>66</v>
      </c>
      <c r="B31" s="3" t="str">
        <f t="shared" si="1"/>
        <v>H2</v>
      </c>
      <c r="C31" s="3" t="s">
        <v>64</v>
      </c>
      <c r="D31" s="10">
        <v>2.0</v>
      </c>
      <c r="E31" s="10"/>
      <c r="F31" s="10"/>
      <c r="G31" s="10"/>
      <c r="H31" s="10"/>
      <c r="I31" s="10"/>
    </row>
    <row r="32" ht="14.25" customHeight="1">
      <c r="A32" s="2" t="s">
        <v>67</v>
      </c>
      <c r="B32" s="3" t="str">
        <f t="shared" si="1"/>
        <v>H3</v>
      </c>
      <c r="C32" s="3" t="s">
        <v>64</v>
      </c>
      <c r="D32" s="10">
        <v>3.0</v>
      </c>
      <c r="E32" s="10"/>
      <c r="F32" s="10"/>
      <c r="G32" s="10"/>
      <c r="H32" s="10"/>
      <c r="I32" s="10"/>
    </row>
    <row r="33" ht="14.25" customHeight="1">
      <c r="A33" s="2" t="s">
        <v>68</v>
      </c>
      <c r="B33" s="3" t="str">
        <f t="shared" si="1"/>
        <v>H4</v>
      </c>
      <c r="C33" s="3" t="s">
        <v>64</v>
      </c>
      <c r="D33" s="10">
        <v>4.0</v>
      </c>
      <c r="E33" s="10"/>
      <c r="F33" s="10"/>
      <c r="G33" s="10"/>
      <c r="H33" s="10"/>
      <c r="I33" s="10"/>
    </row>
    <row r="34" ht="14.25" customHeight="1">
      <c r="A34" s="2" t="s">
        <v>70</v>
      </c>
      <c r="B34" s="3" t="str">
        <f t="shared" si="1"/>
        <v>I1</v>
      </c>
      <c r="C34" s="3" t="s">
        <v>69</v>
      </c>
      <c r="D34" s="10">
        <v>1.0</v>
      </c>
      <c r="E34" s="10">
        <v>1.0</v>
      </c>
      <c r="F34" s="10">
        <v>1.0</v>
      </c>
      <c r="G34" s="10"/>
      <c r="H34" s="10"/>
      <c r="I34" s="10"/>
    </row>
    <row r="35" ht="14.25" customHeight="1">
      <c r="A35" s="2" t="s">
        <v>71</v>
      </c>
      <c r="B35" s="3" t="str">
        <f t="shared" si="1"/>
        <v>I3</v>
      </c>
      <c r="C35" s="3" t="s">
        <v>69</v>
      </c>
      <c r="D35" s="10">
        <v>3.0</v>
      </c>
      <c r="E35" s="10"/>
      <c r="F35" s="10"/>
      <c r="G35" s="10"/>
      <c r="H35" s="10"/>
      <c r="I35" s="10"/>
    </row>
    <row r="36" ht="14.25" customHeight="1">
      <c r="A36" s="2" t="s">
        <v>72</v>
      </c>
      <c r="B36" s="3" t="str">
        <f t="shared" si="1"/>
        <v>I2</v>
      </c>
      <c r="C36" s="3" t="s">
        <v>69</v>
      </c>
      <c r="D36" s="10">
        <v>2.0</v>
      </c>
      <c r="E36" s="10">
        <v>1.0</v>
      </c>
      <c r="F36" s="10"/>
      <c r="G36" s="10"/>
      <c r="H36" s="10"/>
      <c r="I36" s="10"/>
    </row>
    <row r="37" ht="14.25" customHeight="1">
      <c r="A37" s="2" t="s">
        <v>73</v>
      </c>
      <c r="B37" s="3" t="str">
        <f t="shared" si="1"/>
        <v>I4</v>
      </c>
      <c r="C37" s="3" t="s">
        <v>69</v>
      </c>
      <c r="D37" s="10">
        <v>4.0</v>
      </c>
      <c r="E37" s="10"/>
      <c r="F37" s="10"/>
      <c r="G37" s="10"/>
      <c r="H37" s="10"/>
      <c r="I37" s="10"/>
    </row>
    <row r="38" ht="14.25" customHeight="1">
      <c r="A38" s="2" t="s">
        <v>75</v>
      </c>
      <c r="B38" s="3" t="str">
        <f t="shared" si="1"/>
        <v>J1</v>
      </c>
      <c r="C38" s="3" t="s">
        <v>74</v>
      </c>
      <c r="D38" s="10">
        <v>1.0</v>
      </c>
      <c r="E38" s="10">
        <v>1.0</v>
      </c>
      <c r="F38" s="10">
        <v>1.0</v>
      </c>
      <c r="G38" s="10"/>
      <c r="H38" s="10"/>
      <c r="I38" s="10"/>
    </row>
    <row r="39" ht="14.25" customHeight="1">
      <c r="A39" s="2" t="s">
        <v>76</v>
      </c>
      <c r="B39" s="3" t="str">
        <f t="shared" si="1"/>
        <v>J2</v>
      </c>
      <c r="C39" s="3" t="s">
        <v>74</v>
      </c>
      <c r="D39" s="10">
        <v>2.0</v>
      </c>
      <c r="E39" s="10"/>
      <c r="F39" s="10"/>
      <c r="G39" s="10"/>
      <c r="H39" s="10"/>
      <c r="I39" s="10"/>
    </row>
    <row r="40" ht="14.25" customHeight="1">
      <c r="A40" s="2" t="s">
        <v>77</v>
      </c>
      <c r="B40" s="3" t="str">
        <f t="shared" si="1"/>
        <v>J3</v>
      </c>
      <c r="C40" s="3" t="s">
        <v>74</v>
      </c>
      <c r="D40" s="10">
        <v>3.0</v>
      </c>
      <c r="E40" s="10"/>
      <c r="F40" s="10"/>
      <c r="G40" s="10"/>
      <c r="H40" s="10"/>
      <c r="I40" s="10"/>
    </row>
    <row r="41" ht="14.25" customHeight="1">
      <c r="A41" s="2" t="s">
        <v>78</v>
      </c>
      <c r="B41" s="3" t="str">
        <f t="shared" si="1"/>
        <v>J4</v>
      </c>
      <c r="C41" s="3" t="s">
        <v>74</v>
      </c>
      <c r="D41" s="10">
        <v>4.0</v>
      </c>
      <c r="E41" s="10"/>
      <c r="F41" s="10"/>
      <c r="G41" s="10"/>
      <c r="H41" s="10"/>
      <c r="I41" s="10"/>
    </row>
    <row r="42" ht="14.25" customHeight="1">
      <c r="A42" s="2" t="s">
        <v>80</v>
      </c>
      <c r="B42" s="3" t="str">
        <f t="shared" si="1"/>
        <v>K1</v>
      </c>
      <c r="C42" s="3" t="s">
        <v>79</v>
      </c>
      <c r="D42" s="10">
        <v>1.0</v>
      </c>
      <c r="E42" s="10">
        <v>1.0</v>
      </c>
      <c r="F42" s="10">
        <v>1.0</v>
      </c>
      <c r="G42" s="10">
        <v>1.0</v>
      </c>
      <c r="H42" s="10"/>
      <c r="I42" s="10"/>
    </row>
    <row r="43" ht="14.25" customHeight="1">
      <c r="A43" s="2" t="s">
        <v>81</v>
      </c>
      <c r="B43" s="3" t="str">
        <f t="shared" si="1"/>
        <v>K2</v>
      </c>
      <c r="C43" s="3" t="s">
        <v>79</v>
      </c>
      <c r="D43" s="10">
        <v>2.0</v>
      </c>
      <c r="E43" s="10"/>
      <c r="F43" s="10"/>
      <c r="G43" s="10"/>
      <c r="H43" s="10"/>
      <c r="I43" s="10"/>
    </row>
    <row r="44" ht="14.25" customHeight="1">
      <c r="A44" s="2" t="s">
        <v>82</v>
      </c>
      <c r="B44" s="3" t="str">
        <f t="shared" si="1"/>
        <v>K4</v>
      </c>
      <c r="C44" s="3" t="s">
        <v>79</v>
      </c>
      <c r="D44" s="10">
        <v>4.0</v>
      </c>
      <c r="E44" s="10"/>
      <c r="F44" s="10"/>
      <c r="G44" s="10"/>
      <c r="H44" s="10"/>
      <c r="I44" s="10"/>
    </row>
    <row r="45" ht="14.25" customHeight="1">
      <c r="A45" s="2" t="s">
        <v>83</v>
      </c>
      <c r="B45" s="3" t="str">
        <f t="shared" si="1"/>
        <v>K3</v>
      </c>
      <c r="C45" s="3" t="s">
        <v>79</v>
      </c>
      <c r="D45" s="10">
        <v>3.0</v>
      </c>
      <c r="E45" s="10"/>
      <c r="F45" s="10"/>
      <c r="G45" s="10"/>
      <c r="H45" s="10"/>
      <c r="I45" s="10"/>
    </row>
    <row r="46" ht="14.25" customHeight="1">
      <c r="A46" s="2" t="s">
        <v>85</v>
      </c>
      <c r="B46" s="3" t="str">
        <f t="shared" si="1"/>
        <v>L1</v>
      </c>
      <c r="C46" s="3" t="s">
        <v>84</v>
      </c>
      <c r="D46" s="10">
        <v>1.0</v>
      </c>
      <c r="E46" s="10">
        <v>1.0</v>
      </c>
      <c r="F46" s="10">
        <v>1.0</v>
      </c>
      <c r="G46" s="10">
        <v>1.0</v>
      </c>
      <c r="H46" s="10">
        <v>1.0</v>
      </c>
      <c r="I46" s="10"/>
    </row>
    <row r="47" ht="14.25" customHeight="1">
      <c r="A47" s="2" t="s">
        <v>86</v>
      </c>
      <c r="B47" s="3" t="str">
        <f t="shared" si="1"/>
        <v>L3</v>
      </c>
      <c r="C47" s="3" t="s">
        <v>84</v>
      </c>
      <c r="D47" s="10">
        <v>3.0</v>
      </c>
      <c r="E47" s="10"/>
      <c r="F47" s="10"/>
      <c r="G47" s="10"/>
      <c r="H47" s="10"/>
      <c r="I47" s="10"/>
    </row>
    <row r="48" ht="14.25" customHeight="1">
      <c r="A48" s="2" t="s">
        <v>87</v>
      </c>
      <c r="B48" s="3" t="str">
        <f t="shared" si="1"/>
        <v>L4</v>
      </c>
      <c r="C48" s="3" t="s">
        <v>84</v>
      </c>
      <c r="D48" s="10">
        <v>4.0</v>
      </c>
      <c r="E48" s="10"/>
      <c r="F48" s="10"/>
      <c r="G48" s="10"/>
      <c r="H48" s="10"/>
      <c r="I48" s="10"/>
    </row>
    <row r="49" ht="14.25" customHeight="1">
      <c r="A49" s="2" t="s">
        <v>88</v>
      </c>
      <c r="B49" s="3" t="str">
        <f t="shared" si="1"/>
        <v>L2</v>
      </c>
      <c r="C49" s="3" t="s">
        <v>84</v>
      </c>
      <c r="D49" s="10">
        <v>2.0</v>
      </c>
      <c r="E49" s="12">
        <v>1.0</v>
      </c>
      <c r="F49" s="10"/>
      <c r="G49" s="10"/>
      <c r="H49" s="10"/>
      <c r="I49" s="1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5" width="14.0"/>
    <col customWidth="1" min="6" max="6" width="3.0"/>
    <col customWidth="1" min="7" max="7" width="20.0"/>
    <col customWidth="1" min="8" max="8" width="26.0"/>
    <col customWidth="1" min="9" max="9" width="4.0"/>
  </cols>
  <sheetData>
    <row r="1" ht="14.25" customHeight="1">
      <c r="A1" s="1" t="s">
        <v>97</v>
      </c>
      <c r="B1" s="1">
        <v>1.0</v>
      </c>
      <c r="C1" s="1">
        <v>2.0</v>
      </c>
      <c r="D1" s="1">
        <v>3.0</v>
      </c>
      <c r="E1" s="1">
        <v>4.0</v>
      </c>
      <c r="G1" s="1" t="s">
        <v>98</v>
      </c>
      <c r="H1" s="1" t="s">
        <v>99</v>
      </c>
      <c r="I1" s="1"/>
    </row>
    <row r="2" ht="14.25" customHeight="1">
      <c r="A2" s="13" t="s">
        <v>27</v>
      </c>
      <c r="B2" s="3" t="str">
        <f t="array" ref="B2">IF(ISNA(MATCH($A2&amp;B$1,'Elimination Rounds'!$B$2:$B$49,0)),"Choice not made!",INDEX('Elimination Rounds'!$A$2:$A$49,MATCH($A2&amp;B$1,'Elimination Rounds'!$B$2:$B$49,0)))</f>
        <v>Mexico</v>
      </c>
      <c r="C2" s="3" t="str">
        <f t="array" ref="C2">IF(ISNA(MATCH($A2&amp;C$1,'Elimination Rounds'!$B$2:$B$49,0)),"Choice not made!",INDEX('Elimination Rounds'!$A$2:$A$49,MATCH($A2&amp;C$1,'Elimination Rounds'!$B$2:$B$49,0)))</f>
        <v>South Korea</v>
      </c>
      <c r="D2" s="3" t="str">
        <f t="array" ref="D2">IF(ISNA(MATCH($A2&amp;D$1,'Elimination Rounds'!$B$2:$B$49,0)),"Choice not made!",INDEX('Elimination Rounds'!$A$2:$A$49,MATCH($A2&amp;D$1,'Elimination Rounds'!$B$2:$B$49,0)))</f>
        <v>South Africa</v>
      </c>
      <c r="E2" s="3" t="str">
        <f t="array" ref="E2">IF(ISNA(MATCH($A2&amp;E$1,'Elimination Rounds'!$B$2:$B$49,0)),"Choice not made!",INDEX('Elimination Rounds'!$A$2:$A$49,MATCH($A2&amp;E$1,'Elimination Rounds'!$B$2:$B$49,0)))</f>
        <v>Czechia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ht="14.25" customHeight="1">
      <c r="A3" s="13" t="s">
        <v>34</v>
      </c>
      <c r="B3" s="3" t="str">
        <f t="array" ref="B3">IF(ISNA(MATCH($A3&amp;B$1,'Elimination Rounds'!$B$2:$B$49,0)),"Choice not made!",INDEX('Elimination Rounds'!$A$2:$A$49,MATCH($A3&amp;B$1,'Elimination Rounds'!$B$2:$B$49,0)))</f>
        <v>Switzerland</v>
      </c>
      <c r="C3" s="3" t="str">
        <f t="array" ref="C3">IF(ISNA(MATCH($A3&amp;C$1,'Elimination Rounds'!$B$2:$B$49,0)),"Choice not made!",INDEX('Elimination Rounds'!$A$2:$A$49,MATCH($A3&amp;C$1,'Elimination Rounds'!$B$2:$B$49,0)))</f>
        <v>Bosnia-Herzegovina</v>
      </c>
      <c r="D3" s="3" t="str">
        <f t="array" ref="D3">IF(ISNA(MATCH($A3&amp;D$1,'Elimination Rounds'!$B$2:$B$49,0)),"Choice not made!",INDEX('Elimination Rounds'!$A$2:$A$49,MATCH($A3&amp;D$1,'Elimination Rounds'!$B$2:$B$49,0)))</f>
        <v>Canada</v>
      </c>
      <c r="E3" s="3" t="str">
        <f t="array" ref="E3"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103</v>
      </c>
    </row>
    <row r="4" ht="14.25" customHeight="1">
      <c r="A4" s="13" t="s">
        <v>39</v>
      </c>
      <c r="B4" s="3" t="str">
        <f t="array" ref="B4">IF(ISNA(MATCH($A4&amp;B$1,'Elimination Rounds'!$B$2:$B$49,0)),"Choice not made!",INDEX('Elimination Rounds'!$A$2:$A$49,MATCH($A4&amp;B$1,'Elimination Rounds'!$B$2:$B$49,0)))</f>
        <v>Brazil</v>
      </c>
      <c r="C4" s="3" t="str">
        <f t="array" ref="C4">IF(ISNA(MATCH($A4&amp;C$1,'Elimination Rounds'!$B$2:$B$49,0)),"Choice not made!",INDEX('Elimination Rounds'!$A$2:$A$49,MATCH($A4&amp;C$1,'Elimination Rounds'!$B$2:$B$49,0)))</f>
        <v>Scotland</v>
      </c>
      <c r="D4" s="3" t="str">
        <f t="array" ref="D4">IF(ISNA(MATCH($A4&amp;D$1,'Elimination Rounds'!$B$2:$B$49,0)),"Choice not made!",INDEX('Elimination Rounds'!$A$2:$A$49,MATCH($A4&amp;D$1,'Elimination Rounds'!$B$2:$B$49,0)))</f>
        <v>Morocco</v>
      </c>
      <c r="E4" s="3" t="str">
        <f t="array" ref="E4"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 ht="14.25" customHeight="1">
      <c r="A5" s="13" t="s">
        <v>44</v>
      </c>
      <c r="B5" s="3" t="str">
        <f t="array" ref="B5">IF(ISNA(MATCH($A5&amp;B$1,'Elimination Rounds'!$B$2:$B$49,0)),"Choice not made!",INDEX('Elimination Rounds'!$A$2:$A$49,MATCH($A5&amp;B$1,'Elimination Rounds'!$B$2:$B$49,0)))</f>
        <v>Turkiye</v>
      </c>
      <c r="C5" s="3" t="str">
        <f t="array" ref="C5">IF(ISNA(MATCH($A5&amp;C$1,'Elimination Rounds'!$B$2:$B$49,0)),"Choice not made!",INDEX('Elimination Rounds'!$A$2:$A$49,MATCH($A5&amp;C$1,'Elimination Rounds'!$B$2:$B$49,0)))</f>
        <v>Australia</v>
      </c>
      <c r="D5" s="3" t="str">
        <f t="array" ref="D5">IF(ISNA(MATCH($A5&amp;D$1,'Elimination Rounds'!$B$2:$B$49,0)),"Choice not made!",INDEX('Elimination Rounds'!$A$2:$A$49,MATCH($A5&amp;D$1,'Elimination Rounds'!$B$2:$B$49,0)))</f>
        <v>USA</v>
      </c>
      <c r="E5" s="3" t="str">
        <f t="array" ref="E5">IF(ISNA(MATCH($A5&amp;E$1,'Elimination Rounds'!$B$2:$B$49,0)),"Choice not made!",INDEX('Elimination Rounds'!$A$2:$A$49,MATCH($A5&amp;E$1,'Elimination Rounds'!$B$2:$B$49,0)))</f>
        <v>Paraguay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 ht="14.25" customHeight="1">
      <c r="A6" s="13" t="s">
        <v>49</v>
      </c>
      <c r="B6" s="3" t="str">
        <f t="array" ref="B6">IF(ISNA(MATCH($A6&amp;B$1,'Elimination Rounds'!$B$2:$B$49,0)),"Choice not made!",INDEX('Elimination Rounds'!$A$2:$A$49,MATCH($A6&amp;B$1,'Elimination Rounds'!$B$2:$B$49,0)))</f>
        <v>Germany</v>
      </c>
      <c r="C6" s="3" t="str">
        <f t="array" ref="C6">IF(ISNA(MATCH($A6&amp;C$1,'Elimination Rounds'!$B$2:$B$49,0)),"Choice not made!",INDEX('Elimination Rounds'!$A$2:$A$49,MATCH($A6&amp;C$1,'Elimination Rounds'!$B$2:$B$49,0)))</f>
        <v>Ivory Coast</v>
      </c>
      <c r="D6" s="3" t="str">
        <f t="array" ref="D6">IF(ISNA(MATCH($A6&amp;D$1,'Elimination Rounds'!$B$2:$B$49,0)),"Choice not made!",INDEX('Elimination Rounds'!$A$2:$A$49,MATCH($A6&amp;D$1,'Elimination Rounds'!$B$2:$B$49,0)))</f>
        <v>Ecuador</v>
      </c>
      <c r="E6" s="3" t="str">
        <f t="array" ref="E6">IF(ISNA(MATCH($A6&amp;E$1,'Elimination Rounds'!$B$2:$B$49,0)),"Choice not made!",INDEX('Elimination Rounds'!$A$2:$A$49,MATCH($A6&amp;E$1,'Elimination Rounds'!$B$2:$B$49,0)))</f>
        <v>Curacao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 ht="14.25" customHeight="1">
      <c r="A7" s="13" t="s">
        <v>54</v>
      </c>
      <c r="B7" s="3" t="str">
        <f t="array" ref="B7">IF(ISNA(MATCH($A7&amp;B$1,'Elimination Rounds'!$B$2:$B$49,0)),"Choice not made!",INDEX('Elimination Rounds'!$A$2:$A$49,MATCH($A7&amp;B$1,'Elimination Rounds'!$B$2:$B$49,0)))</f>
        <v>Netherlands</v>
      </c>
      <c r="C7" s="3" t="str">
        <f t="array" ref="C7">IF(ISNA(MATCH($A7&amp;C$1,'Elimination Rounds'!$B$2:$B$49,0)),"Choice not made!",INDEX('Elimination Rounds'!$A$2:$A$49,MATCH($A7&amp;C$1,'Elimination Rounds'!$B$2:$B$49,0)))</f>
        <v>Sweden</v>
      </c>
      <c r="D7" s="3" t="str">
        <f t="array" ref="D7">IF(ISNA(MATCH($A7&amp;D$1,'Elimination Rounds'!$B$2:$B$49,0)),"Choice not made!",INDEX('Elimination Rounds'!$A$2:$A$49,MATCH($A7&amp;D$1,'Elimination Rounds'!$B$2:$B$49,0)))</f>
        <v>Japan</v>
      </c>
      <c r="E7" s="3" t="str">
        <f t="array" ref="E7">IF(ISNA(MATCH($A7&amp;E$1,'Elimination Rounds'!$B$2:$B$49,0)),"Choice not made!",INDEX('Elimination Rounds'!$A$2:$A$49,MATCH($A7&amp;E$1,'Elimination Rounds'!$B$2:$B$49,0)))</f>
        <v>Tunisia</v>
      </c>
    </row>
    <row r="8" ht="14.25" customHeight="1">
      <c r="A8" s="13" t="s">
        <v>59</v>
      </c>
      <c r="B8" s="3" t="str">
        <f t="array" ref="B8">IF(ISNA(MATCH($A8&amp;B$1,'Elimination Rounds'!$B$2:$B$49,0)),"Choice not made!",INDEX('Elimination Rounds'!$A$2:$A$49,MATCH($A8&amp;B$1,'Elimination Rounds'!$B$2:$B$49,0)))</f>
        <v>Belgium</v>
      </c>
      <c r="C8" s="3" t="str">
        <f t="array" ref="C8">IF(ISNA(MATCH($A8&amp;C$1,'Elimination Rounds'!$B$2:$B$49,0)),"Choice not made!",INDEX('Elimination Rounds'!$A$2:$A$49,MATCH($A8&amp;C$1,'Elimination Rounds'!$B$2:$B$49,0)))</f>
        <v>Egypt</v>
      </c>
      <c r="D8" s="3" t="str">
        <f t="array" ref="D8">IF(ISNA(MATCH($A8&amp;D$1,'Elimination Rounds'!$B$2:$B$49,0)),"Choice not made!",INDEX('Elimination Rounds'!$A$2:$A$49,MATCH($A8&amp;D$1,'Elimination Rounds'!$B$2:$B$49,0)))</f>
        <v>New Zealand</v>
      </c>
      <c r="E8" s="3" t="str">
        <f t="array" ref="E8">IF(ISNA(MATCH($A8&amp;E$1,'Elimination Rounds'!$B$2:$B$49,0)),"Choice not made!",INDEX('Elimination Rounds'!$A$2:$A$49,MATCH($A8&amp;E$1,'Elimination Rounds'!$B$2:$B$49,0)))</f>
        <v>Iran</v>
      </c>
      <c r="G8" s="1" t="s">
        <v>110</v>
      </c>
      <c r="H8" s="1" t="s">
        <v>99</v>
      </c>
    </row>
    <row r="9" ht="14.25" customHeight="1">
      <c r="A9" s="13" t="s">
        <v>64</v>
      </c>
      <c r="B9" s="3" t="str">
        <f t="array" ref="B9">IF(ISNA(MATCH($A9&amp;B$1,'Elimination Rounds'!$B$2:$B$49,0)),"Choice not made!",INDEX('Elimination Rounds'!$A$2:$A$49,MATCH($A9&amp;B$1,'Elimination Rounds'!$B$2:$B$49,0)))</f>
        <v>Spain</v>
      </c>
      <c r="C9" s="3" t="str">
        <f t="array" ref="C9">IF(ISNA(MATCH($A9&amp;C$1,'Elimination Rounds'!$B$2:$B$49,0)),"Choice not made!",INDEX('Elimination Rounds'!$A$2:$A$49,MATCH($A9&amp;C$1,'Elimination Rounds'!$B$2:$B$49,0)))</f>
        <v>Uruguay</v>
      </c>
      <c r="D9" s="3" t="str">
        <f t="array" ref="D9">IF(ISNA(MATCH($A9&amp;D$1,'Elimination Rounds'!$B$2:$B$49,0)),"Choice not made!",INDEX('Elimination Rounds'!$A$2:$A$49,MATCH($A9&amp;D$1,'Elimination Rounds'!$B$2:$B$49,0)))</f>
        <v>Saudi Arabia</v>
      </c>
      <c r="E9" s="3" t="str">
        <f t="array" ref="E9">IF(ISNA(MATCH($A9&amp;E$1,'Elimination Rounds'!$B$2:$B$49,0)),"Choice not made!",INDEX('Elimination Rounds'!$A$2:$A$49,MATCH($A9&amp;E$1,'Elimination Rounds'!$B$2:$B$49,0)))</f>
        <v>Cape Verde</v>
      </c>
      <c r="G9" s="14" t="s">
        <v>111</v>
      </c>
      <c r="H9" s="15" t="str">
        <f>IF('Group Stage'!J5=72,"GOOD TO GO!","SOME GAMES NOT PICKED")</f>
        <v>GOOD TO GO!</v>
      </c>
    </row>
    <row r="10" ht="14.25" customHeight="1">
      <c r="A10" s="13" t="s">
        <v>69</v>
      </c>
      <c r="B10" s="3" t="str">
        <f t="array" ref="B10">IF(ISNA(MATCH($A10&amp;B$1,'Elimination Rounds'!$B$2:$B$49,0)),"Choice not made!",INDEX('Elimination Rounds'!$A$2:$A$49,MATCH($A10&amp;B$1,'Elimination Rounds'!$B$2:$B$49,0)))</f>
        <v>France</v>
      </c>
      <c r="C10" s="3" t="str">
        <f t="array" ref="C10">IF(ISNA(MATCH($A10&amp;C$1,'Elimination Rounds'!$B$2:$B$49,0)),"Choice not made!",INDEX('Elimination Rounds'!$A$2:$A$49,MATCH($A10&amp;C$1,'Elimination Rounds'!$B$2:$B$49,0)))</f>
        <v>Norway</v>
      </c>
      <c r="D10" s="3" t="str">
        <f t="array" ref="D10">IF(ISNA(MATCH($A10&amp;D$1,'Elimination Rounds'!$B$2:$B$49,0)),"Choice not made!",INDEX('Elimination Rounds'!$A$2:$A$49,MATCH($A10&amp;D$1,'Elimination Rounds'!$B$2:$B$49,0)))</f>
        <v>Senegal</v>
      </c>
      <c r="E10" s="3" t="str">
        <f t="array" ref="E10">IF(ISNA(MATCH($A10&amp;E$1,'Elimination Rounds'!$B$2:$B$49,0)),"Choice not made!",INDEX('Elimination Rounds'!$A$2:$A$49,MATCH($A10&amp;E$1,'Elimination Rounds'!$B$2:$B$49,0)))</f>
        <v>Iraq</v>
      </c>
    </row>
    <row r="11" ht="14.25" customHeight="1">
      <c r="A11" s="13" t="s">
        <v>74</v>
      </c>
      <c r="B11" s="3" t="str">
        <f t="array" ref="B11">IF(ISNA(MATCH($A11&amp;B$1,'Elimination Rounds'!$B$2:$B$49,0)),"Choice not made!",INDEX('Elimination Rounds'!$A$2:$A$49,MATCH($A11&amp;B$1,'Elimination Rounds'!$B$2:$B$49,0)))</f>
        <v>Argentina</v>
      </c>
      <c r="C11" s="3" t="str">
        <f t="array" ref="C11">IF(ISNA(MATCH($A11&amp;C$1,'Elimination Rounds'!$B$2:$B$49,0)),"Choice not made!",INDEX('Elimination Rounds'!$A$2:$A$49,MATCH($A11&amp;C$1,'Elimination Rounds'!$B$2:$B$49,0)))</f>
        <v>Austria</v>
      </c>
      <c r="D11" s="3" t="str">
        <f t="array" ref="D11">IF(ISNA(MATCH($A11&amp;D$1,'Elimination Rounds'!$B$2:$B$49,0)),"Choice not made!",INDEX('Elimination Rounds'!$A$2:$A$49,MATCH($A11&amp;D$1,'Elimination Rounds'!$B$2:$B$49,0)))</f>
        <v>Algeria</v>
      </c>
      <c r="E11" s="3" t="str">
        <f t="array" ref="E11">IF(ISNA(MATCH($A11&amp;E$1,'Elimination Rounds'!$B$2:$B$49,0)),"Choice not made!",INDEX('Elimination Rounds'!$A$2:$A$49,MATCH($A11&amp;E$1,'Elimination Rounds'!$B$2:$B$49,0)))</f>
        <v>Jordan</v>
      </c>
    </row>
    <row r="12" ht="14.25" customHeight="1">
      <c r="A12" s="13" t="s">
        <v>79</v>
      </c>
      <c r="B12" s="3" t="str">
        <f t="array" ref="B12">IF(ISNA(MATCH($A12&amp;B$1,'Elimination Rounds'!$B$2:$B$49,0)),"Choice not made!",INDEX('Elimination Rounds'!$A$2:$A$49,MATCH($A12&amp;B$1,'Elimination Rounds'!$B$2:$B$49,0)))</f>
        <v>Portugal</v>
      </c>
      <c r="C12" s="3" t="str">
        <f t="array" ref="C12">IF(ISNA(MATCH($A12&amp;C$1,'Elimination Rounds'!$B$2:$B$49,0)),"Choice not made!",INDEX('Elimination Rounds'!$A$2:$A$49,MATCH($A12&amp;C$1,'Elimination Rounds'!$B$2:$B$49,0)))</f>
        <v>Colombia</v>
      </c>
      <c r="D12" s="3" t="str">
        <f t="array" ref="D12">IF(ISNA(MATCH($A12&amp;D$1,'Elimination Rounds'!$B$2:$B$49,0)),"Choice not made!",INDEX('Elimination Rounds'!$A$2:$A$49,MATCH($A12&amp;D$1,'Elimination Rounds'!$B$2:$B$49,0)))</f>
        <v>DR Congo</v>
      </c>
      <c r="E12" s="3" t="str">
        <f t="array" ref="E12">IF(ISNA(MATCH($A12&amp;E$1,'Elimination Rounds'!$B$2:$B$49,0)),"Choice not made!",INDEX('Elimination Rounds'!$A$2:$A$49,MATCH($A12&amp;E$1,'Elimination Rounds'!$B$2:$B$49,0)))</f>
        <v>Uzbekistan</v>
      </c>
    </row>
    <row r="13" ht="14.25" customHeight="1">
      <c r="A13" s="13" t="s">
        <v>84</v>
      </c>
      <c r="B13" s="3" t="str">
        <f t="array" ref="B13">IF(ISNA(MATCH($A13&amp;B$1,'Elimination Rounds'!$B$2:$B$49,0)),"Choice not made!",INDEX('Elimination Rounds'!$A$2:$A$49,MATCH($A13&amp;B$1,'Elimination Rounds'!$B$2:$B$49,0)))</f>
        <v>England</v>
      </c>
      <c r="C13" s="3" t="str">
        <f t="array" ref="C13">IF(ISNA(MATCH($A13&amp;C$1,'Elimination Rounds'!$B$2:$B$49,0)),"Choice not made!",INDEX('Elimination Rounds'!$A$2:$A$49,MATCH($A13&amp;C$1,'Elimination Rounds'!$B$2:$B$49,0)))</f>
        <v>Ghana</v>
      </c>
      <c r="D13" s="3" t="str">
        <f t="array" ref="D13">IF(ISNA(MATCH($A13&amp;D$1,'Elimination Rounds'!$B$2:$B$49,0)),"Choice not made!",INDEX('Elimination Rounds'!$A$2:$A$49,MATCH($A13&amp;D$1,'Elimination Rounds'!$B$2:$B$49,0)))</f>
        <v>Croatia</v>
      </c>
      <c r="E13" s="3" t="str">
        <f t="array" ref="E13">IF(ISNA(MATCH($A13&amp;E$1,'Elimination Rounds'!$B$2:$B$49,0)),"Choice not made!",INDEX('Elimination Rounds'!$A$2:$A$49,MATCH($A13&amp;E$1,'Elimination Rounds'!$B$2:$B$49,0)))</f>
        <v>Panama</v>
      </c>
    </row>
    <row r="14" ht="14.25" customHeight="1"/>
    <row r="15" ht="14.25" customHeight="1"/>
    <row r="16" ht="14.25" customHeight="1">
      <c r="A16" s="16" t="s">
        <v>112</v>
      </c>
      <c r="B16" s="17">
        <f>COUNTIF(B2:E13,"Choice not made!")+COUNTIF(H2:H6,"DID NOT SELECT CORRECT NUMBER")</f>
        <v>0</v>
      </c>
    </row>
    <row r="17" ht="14.25" customHeight="1"/>
    <row r="18" ht="14.25" customHeight="1">
      <c r="A18" s="18" t="str">
        <f>IF(B16=0,"GOOD TO GO!","NOT READY TO SUBMIT (SEE ERRORS ABOVE)")</f>
        <v>GOOD TO GO!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:F20"/>
  </mergeCells>
  <conditionalFormatting sqref="A18:F20">
    <cfRule type="expression" dxfId="0" priority="1">
      <formula>NOT(ISERROR(SEARCH("GOOD TO GO!",A18)))</formula>
    </cfRule>
  </conditionalFormatting>
  <conditionalFormatting sqref="A18:F20">
    <cfRule type="expression" dxfId="1" priority="2">
      <formula>NOT(ISERROR(SEARCH("NOT READY",A18)))</formula>
    </cfRule>
  </conditionalFormatting>
  <conditionalFormatting sqref="B2:E13">
    <cfRule type="cellIs" dxfId="2" priority="3" operator="equal">
      <formula>"Choice not made!"</formula>
    </cfRule>
  </conditionalFormatting>
  <conditionalFormatting sqref="H2:H6">
    <cfRule type="cellIs" dxfId="3" priority="4" operator="equal">
      <formula>"OK"</formula>
    </cfRule>
  </conditionalFormatting>
  <conditionalFormatting sqref="H2:H6">
    <cfRule type="cellIs" dxfId="2" priority="5" operator="equal">
      <formula>"DID NOT SELECT CORRECT NUMBER"</formula>
    </cfRule>
  </conditionalFormatting>
  <conditionalFormatting sqref="H9">
    <cfRule type="expression" dxfId="4" priority="6">
      <formula>"""GOOD TO GO!"""</formula>
    </cfRule>
  </conditionalFormatting>
  <printOptions/>
  <pageMargins bottom="1.0" footer="0.0" header="0.0" left="0.75" right="0.75" top="1.0"/>
  <pageSetup paperSize="9" orientation="portrait"/>
  <drawing r:id="rId1"/>
</worksheet>
</file>