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/>
  <mc:AlternateContent xmlns:mc="http://schemas.openxmlformats.org/markup-compatibility/2006">
    <mc:Choice Requires="x15">
      <x15ac:absPath xmlns:x15ac="http://schemas.microsoft.com/office/spreadsheetml/2010/11/ac" url="C:\Users\murquhar\AppData\Local\Microsoft\Windows\INetCache\Content.Outlook\2A2QXYUD\"/>
    </mc:Choice>
  </mc:AlternateContent>
  <xr:revisionPtr revIDLastSave="0" documentId="8_{11FB97CE-DCC3-4EDC-A262-D20839B75C5D}" xr6:coauthVersionLast="36" xr6:coauthVersionMax="36" xr10:uidLastSave="{00000000-0000-0000-0000-000000000000}"/>
  <bookViews>
    <workbookView xWindow="0" yWindow="0" windowWidth="21705" windowHeight="11760" activeTab="4" xr2:uid="{00000000-000D-0000-FFFF-FFFF00000000}"/>
  </bookViews>
  <sheets>
    <sheet name="Scoring Rules" sheetId="1" r:id="rId1"/>
    <sheet name="Group Stage" sheetId="2" r:id="rId2"/>
    <sheet name="Elimination Rounds" sheetId="3" r:id="rId3"/>
    <sheet name="Golden BOOT" sheetId="4" r:id="rId4"/>
    <sheet name="Checks" sheetId="5" r:id="rId5"/>
  </sheets>
  <definedNames>
    <definedName name="_xlnm._FilterDatabase" localSheetId="2" hidden="1">'Elimination Rounds'!$A$1:$I$33</definedName>
    <definedName name="_xlnm._FilterDatabase" localSheetId="1" hidden="1">'Group Stage'!$A$1:$F$49</definedName>
  </definedNames>
  <calcPr calcId="191029"/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H5" i="5" l="1"/>
  <c r="H4" i="5"/>
  <c r="H3" i="5"/>
  <c r="H2" i="5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4" i="5" s="1"/>
  <c r="B7" i="3"/>
  <c r="B6" i="3"/>
  <c r="B5" i="3"/>
  <c r="B4" i="3"/>
  <c r="B3" i="3"/>
  <c r="E2" i="3"/>
  <c r="H1" i="5" s="1"/>
  <c r="B2" i="3"/>
  <c r="F44" i="2"/>
  <c r="F38" i="2"/>
  <c r="F36" i="2"/>
  <c r="I4" i="2"/>
  <c r="I2" i="2"/>
  <c r="C12" i="1"/>
  <c r="D7" i="5" l="1"/>
  <c r="C6" i="5"/>
  <c r="C7" i="5"/>
  <c r="C8" i="5"/>
  <c r="B6" i="5"/>
  <c r="B8" i="5"/>
  <c r="C3" i="5"/>
  <c r="D6" i="5"/>
  <c r="D3" i="5"/>
  <c r="E6" i="5"/>
  <c r="E3" i="5"/>
  <c r="B7" i="5"/>
  <c r="I3" i="2"/>
  <c r="I5" i="2" s="1"/>
  <c r="C4" i="5"/>
  <c r="E7" i="5"/>
  <c r="E4" i="5"/>
  <c r="D8" i="5"/>
  <c r="B5" i="5"/>
  <c r="E8" i="5"/>
  <c r="B2" i="5"/>
  <c r="C5" i="5"/>
  <c r="B9" i="5"/>
  <c r="D4" i="5"/>
  <c r="C2" i="5"/>
  <c r="D5" i="5"/>
  <c r="C9" i="5"/>
  <c r="D2" i="5"/>
  <c r="E5" i="5"/>
  <c r="D9" i="5"/>
  <c r="E2" i="5"/>
  <c r="E9" i="5"/>
  <c r="B3" i="5"/>
  <c r="B12" i="5" l="1"/>
  <c r="A17" i="5" s="1"/>
</calcChain>
</file>

<file path=xl/sharedStrings.xml><?xml version="1.0" encoding="utf-8"?>
<sst xmlns="http://schemas.openxmlformats.org/spreadsheetml/2006/main" count="277" uniqueCount="98">
  <si>
    <t>Outcome</t>
  </si>
  <si>
    <t>Points</t>
  </si>
  <si>
    <t>Potential points</t>
  </si>
  <si>
    <t>Correctly guessing Win/Loss/Draw of Group Stage:</t>
  </si>
  <si>
    <t>+1</t>
  </si>
  <si>
    <t>Correctly guessing score of game in Group Stage:</t>
  </si>
  <si>
    <t>Correctly picking group winner (A-H)</t>
  </si>
  <si>
    <t>+2</t>
  </si>
  <si>
    <t>Correctly picking each non-winning group place</t>
  </si>
  <si>
    <t>Correctly picking each team in round 16 (this doesn't have to match your group places---you can pick 3 from a single group)</t>
  </si>
  <si>
    <t>Correctly picking each team in round of 8</t>
  </si>
  <si>
    <t>+4</t>
  </si>
  <si>
    <t>Correctly picking each semi-final team</t>
  </si>
  <si>
    <t>+8</t>
  </si>
  <si>
    <t>Correctly picking each final team</t>
  </si>
  <si>
    <t>+16</t>
  </si>
  <si>
    <t>Correctly picking World Cup Winner</t>
  </si>
  <si>
    <t>+32</t>
  </si>
  <si>
    <t>Correctly picking top goalscorer</t>
  </si>
  <si>
    <t>+15</t>
  </si>
  <si>
    <t>TOTAL</t>
  </si>
  <si>
    <t>NOTES:</t>
  </si>
  <si>
    <t>1/ GROUP STAGE: Fill out the group stage winner by selecting the home team to win, away team or draw by putting H/A/D</t>
  </si>
  <si>
    <t>2/ GROUP STAGE [OPTIONAL]: Fill out the scores (or leave them blank and I'll make all your winners either 2-1 and 1-0 and your draws 0-0 or 1-1</t>
  </si>
  <si>
    <t>3/ ELIMINATION ROUND: Fill out the place rankings of each group, pick 16 teams to make the top 16, 8 teams for the quarter final, etc.</t>
  </si>
  <si>
    <t>4/ GOLDEN BOOT: Pick who gets the most goals (golden boot)</t>
  </si>
  <si>
    <t>5/ CHECKS: Automated checks will tell you if you filled out group stage and elimination round correctly, or have too many listed.</t>
  </si>
  <si>
    <t>Match</t>
  </si>
  <si>
    <t>Home</t>
  </si>
  <si>
    <t>Away</t>
  </si>
  <si>
    <t>Home Goals</t>
  </si>
  <si>
    <t>Away Goals</t>
  </si>
  <si>
    <t>Winner (H, A, D)=(Home, Away, Draw)</t>
  </si>
  <si>
    <t>Self check</t>
  </si>
  <si>
    <t>Qatar</t>
  </si>
  <si>
    <t>Ecuador</t>
  </si>
  <si>
    <t>England</t>
  </si>
  <si>
    <t>Iran</t>
  </si>
  <si>
    <t>Senegal</t>
  </si>
  <si>
    <t>Netherlands</t>
  </si>
  <si>
    <t>Draw</t>
  </si>
  <si>
    <t>USA</t>
  </si>
  <si>
    <t>Wales</t>
  </si>
  <si>
    <t>Argentina</t>
  </si>
  <si>
    <t>Saudi Arabia</t>
  </si>
  <si>
    <t>Denmark</t>
  </si>
  <si>
    <t>Tunisia</t>
  </si>
  <si>
    <t>Mexico</t>
  </si>
  <si>
    <t>Poland</t>
  </si>
  <si>
    <t>France</t>
  </si>
  <si>
    <t>Australia</t>
  </si>
  <si>
    <t>Morocco</t>
  </si>
  <si>
    <t>Croatia</t>
  </si>
  <si>
    <t>Germany</t>
  </si>
  <si>
    <t>Japan</t>
  </si>
  <si>
    <t>Spain</t>
  </si>
  <si>
    <t>Costa Rica</t>
  </si>
  <si>
    <t>Belgium</t>
  </si>
  <si>
    <t>Canada</t>
  </si>
  <si>
    <t>Switzerland</t>
  </si>
  <si>
    <t>Cameroon</t>
  </si>
  <si>
    <t>Uruguay</t>
  </si>
  <si>
    <t>South Korea</t>
  </si>
  <si>
    <t>Portugal</t>
  </si>
  <si>
    <t>Ghana</t>
  </si>
  <si>
    <t>Brazil</t>
  </si>
  <si>
    <t>Serbia</t>
  </si>
  <si>
    <t>Team</t>
  </si>
  <si>
    <t>Code</t>
  </si>
  <si>
    <t>Group</t>
  </si>
  <si>
    <t>Group Finish</t>
  </si>
  <si>
    <t>Round of 16</t>
  </si>
  <si>
    <t>Quarter Finals</t>
  </si>
  <si>
    <t>Semi Finals</t>
  </si>
  <si>
    <t>Final</t>
  </si>
  <si>
    <t>Winner</t>
  </si>
  <si>
    <t>A</t>
  </si>
  <si>
    <t>B</t>
  </si>
  <si>
    <t>C</t>
  </si>
  <si>
    <t>D</t>
  </si>
  <si>
    <t>E</t>
  </si>
  <si>
    <t>F</t>
  </si>
  <si>
    <t>G</t>
  </si>
  <si>
    <t>H</t>
  </si>
  <si>
    <t>Top goalscorer:</t>
  </si>
  <si>
    <t>GROUP CHECK</t>
  </si>
  <si>
    <t>ROUND OF 16 CHECK</t>
  </si>
  <si>
    <t>:16</t>
  </si>
  <si>
    <t>QUARTERFINALS</t>
  </si>
  <si>
    <t>:8</t>
  </si>
  <si>
    <t>SEMIFINALS</t>
  </si>
  <si>
    <t>:4</t>
  </si>
  <si>
    <t>FINAL</t>
  </si>
  <si>
    <t>:2</t>
  </si>
  <si>
    <t>WINNER</t>
  </si>
  <si>
    <t>:1</t>
  </si>
  <si>
    <t>TOTAL ERRORS</t>
  </si>
  <si>
    <t>Kevin De Bruyne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</si>
</sst>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4"/>
      <color theme="1"/>
      <name val="Source Sans Pro"/>
      <family val="2"/>
    </font>
    <font>
      <sz val="10"/>
      <name val="Arial"/>
      <family val="2"/>
    </font>
    <font>
      <sz val="12"/>
      <color theme="1"/>
      <name val="Calibri"/>
      <family val="2"/>
    </font>
    <font>
      <sz val="16"/>
      <color rgb="FF000000"/>
      <name val="Arial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5"/>
      <color rgb="FF000000"/>
      <name val="Arial"/>
      <family val="2"/>
    </font>
    <font>
      <sz val="36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left"/>
    </xf>
    <xf numFmtId="0" fontId="2" fillId="2" borderId="1" xfId="0" quotePrefix="1" applyFont="1" applyFill="1" applyBorder="1" applyAlignment="1">
      <alignment horizontal="center"/>
    </xf>
    <xf numFmtId="0" fontId="2" fillId="0" borderId="0" xfId="0" applyFont="1"/>
    <xf numFmtId="0" fontId="2" fillId="2" borderId="1" xfId="0" quotePrefix="1" applyFont="1" applyFill="1" applyBorder="1" applyAlignment="1">
      <alignment horizontal="center"/>
    </xf>
    <xf numFmtId="0" fontId="2" fillId="0" borderId="0" xfId="0" applyFont="1" applyAlignment="1"/>
    <xf numFmtId="0" fontId="3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1" fillId="4" borderId="1" xfId="0" applyFont="1" applyFill="1" applyBorder="1"/>
    <xf numFmtId="0" fontId="5" fillId="0" borderId="0" xfId="0" applyFont="1"/>
    <xf numFmtId="0" fontId="5" fillId="2" borderId="1" xfId="0" applyFont="1" applyFill="1" applyBorder="1"/>
    <xf numFmtId="0" fontId="5" fillId="3" borderId="1" xfId="0" applyFont="1" applyFill="1" applyBorder="1"/>
    <xf numFmtId="0" fontId="5" fillId="2" borderId="1" xfId="0" applyFont="1" applyFill="1" applyBorder="1" applyAlignment="1"/>
    <xf numFmtId="0" fontId="8" fillId="4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6" fillId="0" borderId="3" xfId="0" applyFont="1" applyBorder="1"/>
    <xf numFmtId="0" fontId="13" fillId="3" borderId="5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7" xfId="0" applyFont="1" applyBorder="1"/>
    <xf numFmtId="0" fontId="13" fillId="3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8"/>
  <sheetViews>
    <sheetView workbookViewId="0">
      <selection activeCell="H35" sqref="H35"/>
    </sheetView>
  </sheetViews>
  <sheetFormatPr defaultColWidth="12.5703125" defaultRowHeight="15" customHeight="1" x14ac:dyDescent="0.2"/>
  <cols>
    <col min="1" max="1" width="51.85546875" customWidth="1"/>
    <col min="2" max="2" width="10.5703125" customWidth="1"/>
    <col min="3" max="3" width="13.85546875" customWidth="1"/>
    <col min="4" max="26" width="10.5703125" customWidth="1"/>
  </cols>
  <sheetData>
    <row r="1" spans="1:3" ht="12.75" customHeight="1" x14ac:dyDescent="0.2">
      <c r="A1" s="1" t="s">
        <v>0</v>
      </c>
      <c r="B1" s="1" t="s">
        <v>1</v>
      </c>
      <c r="C1" s="2" t="s">
        <v>2</v>
      </c>
    </row>
    <row r="2" spans="1:3" ht="12.75" customHeight="1" x14ac:dyDescent="0.2">
      <c r="A2" s="3" t="s">
        <v>3</v>
      </c>
      <c r="B2" s="4" t="s">
        <v>4</v>
      </c>
      <c r="C2" s="5">
        <v>48</v>
      </c>
    </row>
    <row r="3" spans="1:3" ht="12.75" customHeight="1" x14ac:dyDescent="0.2">
      <c r="A3" s="3" t="s">
        <v>5</v>
      </c>
      <c r="B3" s="6" t="s">
        <v>4</v>
      </c>
      <c r="C3" s="7">
        <v>48</v>
      </c>
    </row>
    <row r="4" spans="1:3" ht="12.75" customHeight="1" x14ac:dyDescent="0.2">
      <c r="A4" s="3" t="s">
        <v>6</v>
      </c>
      <c r="B4" s="4" t="s">
        <v>7</v>
      </c>
      <c r="C4" s="8">
        <v>16</v>
      </c>
    </row>
    <row r="5" spans="1:3" ht="12.75" customHeight="1" x14ac:dyDescent="0.2">
      <c r="A5" s="3" t="s">
        <v>8</v>
      </c>
      <c r="B5" s="4" t="s">
        <v>4</v>
      </c>
      <c r="C5" s="8">
        <v>24</v>
      </c>
    </row>
    <row r="6" spans="1:3" ht="12.75" customHeight="1" x14ac:dyDescent="0.2">
      <c r="A6" s="9" t="s">
        <v>9</v>
      </c>
      <c r="B6" s="4" t="s">
        <v>4</v>
      </c>
      <c r="C6" s="8">
        <v>16</v>
      </c>
    </row>
    <row r="7" spans="1:3" ht="12.75" customHeight="1" x14ac:dyDescent="0.2">
      <c r="A7" s="3" t="s">
        <v>10</v>
      </c>
      <c r="B7" s="4" t="s">
        <v>11</v>
      </c>
      <c r="C7" s="8">
        <v>32</v>
      </c>
    </row>
    <row r="8" spans="1:3" ht="12.75" customHeight="1" x14ac:dyDescent="0.2">
      <c r="A8" s="10" t="s">
        <v>12</v>
      </c>
      <c r="B8" s="4" t="s">
        <v>13</v>
      </c>
      <c r="C8" s="8">
        <v>32</v>
      </c>
    </row>
    <row r="9" spans="1:3" ht="12.75" customHeight="1" x14ac:dyDescent="0.2">
      <c r="A9" s="3" t="s">
        <v>14</v>
      </c>
      <c r="B9" s="4" t="s">
        <v>15</v>
      </c>
      <c r="C9" s="8">
        <v>32</v>
      </c>
    </row>
    <row r="10" spans="1:3" ht="12.75" customHeight="1" x14ac:dyDescent="0.2">
      <c r="A10" s="3" t="s">
        <v>16</v>
      </c>
      <c r="B10" s="4" t="s">
        <v>17</v>
      </c>
      <c r="C10" s="8">
        <v>32</v>
      </c>
    </row>
    <row r="11" spans="1:3" ht="12.75" customHeight="1" x14ac:dyDescent="0.2">
      <c r="A11" s="10" t="s">
        <v>18</v>
      </c>
      <c r="B11" s="4" t="s">
        <v>19</v>
      </c>
      <c r="C11" s="8">
        <v>15</v>
      </c>
    </row>
    <row r="12" spans="1:3" ht="12.75" customHeight="1" x14ac:dyDescent="0.2">
      <c r="A12" s="1" t="s">
        <v>20</v>
      </c>
      <c r="B12" s="1"/>
      <c r="C12" s="11">
        <f>SUM(C2:C11)</f>
        <v>295</v>
      </c>
    </row>
    <row r="13" spans="1:3" ht="12.75" customHeight="1" x14ac:dyDescent="0.2"/>
    <row r="14" spans="1:3" ht="12.75" customHeight="1" x14ac:dyDescent="0.2">
      <c r="A14" s="12" t="s">
        <v>21</v>
      </c>
    </row>
    <row r="15" spans="1:3" ht="12.75" customHeight="1" x14ac:dyDescent="0.2">
      <c r="A15" s="13" t="s">
        <v>22</v>
      </c>
    </row>
    <row r="16" spans="1:3" ht="12.75" customHeight="1" x14ac:dyDescent="0.2">
      <c r="A16" s="12" t="s">
        <v>23</v>
      </c>
    </row>
    <row r="17" spans="1:1" ht="12.75" customHeight="1" x14ac:dyDescent="0.2">
      <c r="A17" s="13" t="s">
        <v>24</v>
      </c>
    </row>
    <row r="18" spans="1:1" ht="12.75" customHeight="1" x14ac:dyDescent="0.2">
      <c r="A18" s="13" t="s">
        <v>25</v>
      </c>
    </row>
    <row r="19" spans="1:1" ht="12.75" customHeight="1" x14ac:dyDescent="0.2">
      <c r="A19" s="13" t="s">
        <v>26</v>
      </c>
    </row>
    <row r="20" spans="1:1" ht="12.75" customHeight="1" x14ac:dyDescent="0.2"/>
    <row r="21" spans="1:1" ht="12.75" customHeight="1" x14ac:dyDescent="0.2"/>
    <row r="22" spans="1:1" ht="12.75" customHeight="1" x14ac:dyDescent="0.2"/>
    <row r="23" spans="1:1" ht="12.75" customHeight="1" x14ac:dyDescent="0.2"/>
    <row r="24" spans="1:1" ht="12.75" customHeight="1" x14ac:dyDescent="0.2"/>
    <row r="25" spans="1:1" ht="12.75" customHeight="1" x14ac:dyDescent="0.2"/>
    <row r="26" spans="1:1" ht="12.75" customHeight="1" x14ac:dyDescent="0.2"/>
    <row r="27" spans="1:1" ht="12.75" customHeight="1" x14ac:dyDescent="0.2"/>
    <row r="28" spans="1:1" ht="12.75" customHeight="1" x14ac:dyDescent="0.2"/>
    <row r="29" spans="1:1" ht="12.75" customHeight="1" x14ac:dyDescent="0.2"/>
    <row r="30" spans="1:1" ht="12.75" customHeight="1" x14ac:dyDescent="0.2"/>
    <row r="31" spans="1:1" ht="12.75" customHeight="1" x14ac:dyDescent="0.2"/>
    <row r="32" spans="1:1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pane ySplit="1" topLeftCell="A20" activePane="bottomLeft" state="frozen"/>
      <selection pane="bottomLeft" activeCell="F32" sqref="F32"/>
    </sheetView>
  </sheetViews>
  <sheetFormatPr defaultColWidth="12.5703125" defaultRowHeight="15" customHeight="1" x14ac:dyDescent="0.2"/>
  <cols>
    <col min="1" max="1" width="13" customWidth="1"/>
    <col min="2" max="3" width="14.85546875" customWidth="1"/>
    <col min="4" max="5" width="21.42578125" customWidth="1"/>
    <col min="6" max="6" width="41.28515625" customWidth="1"/>
    <col min="7" max="26" width="14.42578125" customWidth="1"/>
  </cols>
  <sheetData>
    <row r="1" spans="1:9" ht="15.75" customHeight="1" x14ac:dyDescent="0.3">
      <c r="A1" s="14" t="s">
        <v>27</v>
      </c>
      <c r="B1" s="14" t="s">
        <v>28</v>
      </c>
      <c r="C1" s="14" t="s">
        <v>29</v>
      </c>
      <c r="D1" s="14" t="s">
        <v>30</v>
      </c>
      <c r="E1" s="14" t="s">
        <v>31</v>
      </c>
      <c r="F1" s="15" t="s">
        <v>32</v>
      </c>
      <c r="H1" s="32" t="s">
        <v>33</v>
      </c>
      <c r="I1" s="33"/>
    </row>
    <row r="2" spans="1:9" ht="15.75" customHeight="1" x14ac:dyDescent="0.3">
      <c r="A2" s="14">
        <v>1</v>
      </c>
      <c r="B2" s="16" t="s">
        <v>34</v>
      </c>
      <c r="C2" s="16" t="s">
        <v>35</v>
      </c>
      <c r="D2" s="17"/>
      <c r="E2" s="17"/>
      <c r="F2" s="18" t="s">
        <v>83</v>
      </c>
      <c r="H2" s="19" t="s">
        <v>28</v>
      </c>
      <c r="I2" s="19">
        <f>COUNTIF(F2:F49,"H")</f>
        <v>29</v>
      </c>
    </row>
    <row r="3" spans="1:9" ht="15.75" customHeight="1" x14ac:dyDescent="0.3">
      <c r="A3" s="14">
        <v>2</v>
      </c>
      <c r="B3" s="16" t="s">
        <v>36</v>
      </c>
      <c r="C3" s="16" t="s">
        <v>37</v>
      </c>
      <c r="D3" s="17"/>
      <c r="E3" s="17"/>
      <c r="F3" s="18" t="s">
        <v>83</v>
      </c>
      <c r="H3" s="19" t="s">
        <v>29</v>
      </c>
      <c r="I3" s="19">
        <f>COUNTIF(F2:F49,"A")</f>
        <v>15</v>
      </c>
    </row>
    <row r="4" spans="1:9" ht="15.75" customHeight="1" x14ac:dyDescent="0.3">
      <c r="A4" s="14">
        <v>3</v>
      </c>
      <c r="B4" s="16" t="s">
        <v>38</v>
      </c>
      <c r="C4" s="16" t="s">
        <v>39</v>
      </c>
      <c r="D4" s="17"/>
      <c r="E4" s="17"/>
      <c r="F4" s="18" t="s">
        <v>76</v>
      </c>
      <c r="H4" s="19" t="s">
        <v>40</v>
      </c>
      <c r="I4" s="19">
        <f>COUNTIF(F2:F49,"D")</f>
        <v>4</v>
      </c>
    </row>
    <row r="5" spans="1:9" ht="15.75" customHeight="1" x14ac:dyDescent="0.3">
      <c r="A5" s="14">
        <v>4</v>
      </c>
      <c r="B5" s="16" t="s">
        <v>41</v>
      </c>
      <c r="C5" s="16" t="s">
        <v>42</v>
      </c>
      <c r="D5" s="17"/>
      <c r="E5" s="17"/>
      <c r="F5" s="18" t="s">
        <v>83</v>
      </c>
      <c r="H5" s="20" t="s">
        <v>20</v>
      </c>
      <c r="I5" s="20">
        <f>SUM(I2:I4)</f>
        <v>48</v>
      </c>
    </row>
    <row r="6" spans="1:9" ht="15.75" customHeight="1" x14ac:dyDescent="0.3">
      <c r="A6" s="14">
        <v>5</v>
      </c>
      <c r="B6" s="16" t="s">
        <v>43</v>
      </c>
      <c r="C6" s="16" t="s">
        <v>44</v>
      </c>
      <c r="D6" s="17"/>
      <c r="E6" s="17"/>
      <c r="F6" s="18" t="s">
        <v>83</v>
      </c>
    </row>
    <row r="7" spans="1:9" ht="15.75" customHeight="1" x14ac:dyDescent="0.3">
      <c r="A7" s="14">
        <v>6</v>
      </c>
      <c r="B7" s="16" t="s">
        <v>45</v>
      </c>
      <c r="C7" s="16" t="s">
        <v>46</v>
      </c>
      <c r="D7" s="17"/>
      <c r="E7" s="17"/>
      <c r="F7" s="18" t="s">
        <v>83</v>
      </c>
    </row>
    <row r="8" spans="1:9" ht="15.75" customHeight="1" x14ac:dyDescent="0.3">
      <c r="A8" s="14">
        <v>7</v>
      </c>
      <c r="B8" s="16" t="s">
        <v>47</v>
      </c>
      <c r="C8" s="16" t="s">
        <v>48</v>
      </c>
      <c r="D8" s="17"/>
      <c r="E8" s="17"/>
      <c r="F8" s="18" t="s">
        <v>76</v>
      </c>
    </row>
    <row r="9" spans="1:9" ht="15.75" customHeight="1" x14ac:dyDescent="0.3">
      <c r="A9" s="14">
        <v>8</v>
      </c>
      <c r="B9" s="16" t="s">
        <v>49</v>
      </c>
      <c r="C9" s="16" t="s">
        <v>50</v>
      </c>
      <c r="D9" s="17"/>
      <c r="E9" s="17"/>
      <c r="F9" s="18" t="s">
        <v>76</v>
      </c>
    </row>
    <row r="10" spans="1:9" ht="15.75" customHeight="1" x14ac:dyDescent="0.3">
      <c r="A10" s="14">
        <v>9</v>
      </c>
      <c r="B10" s="16" t="s">
        <v>51</v>
      </c>
      <c r="C10" s="16" t="s">
        <v>52</v>
      </c>
      <c r="D10" s="17"/>
      <c r="E10" s="17"/>
      <c r="F10" s="18" t="s">
        <v>76</v>
      </c>
    </row>
    <row r="11" spans="1:9" ht="15.75" customHeight="1" x14ac:dyDescent="0.3">
      <c r="A11" s="14">
        <v>10</v>
      </c>
      <c r="B11" s="21" t="s">
        <v>53</v>
      </c>
      <c r="C11" s="16" t="s">
        <v>54</v>
      </c>
      <c r="D11" s="17"/>
      <c r="E11" s="17"/>
      <c r="F11" s="18" t="s">
        <v>83</v>
      </c>
    </row>
    <row r="12" spans="1:9" ht="15.75" customHeight="1" x14ac:dyDescent="0.3">
      <c r="A12" s="14">
        <v>11</v>
      </c>
      <c r="B12" s="16" t="s">
        <v>55</v>
      </c>
      <c r="C12" s="16" t="s">
        <v>56</v>
      </c>
      <c r="D12" s="17"/>
      <c r="E12" s="17"/>
      <c r="F12" s="18" t="s">
        <v>83</v>
      </c>
    </row>
    <row r="13" spans="1:9" ht="15.75" customHeight="1" x14ac:dyDescent="0.3">
      <c r="A13" s="14">
        <v>12</v>
      </c>
      <c r="B13" s="16" t="s">
        <v>57</v>
      </c>
      <c r="C13" s="16" t="s">
        <v>58</v>
      </c>
      <c r="D13" s="17"/>
      <c r="E13" s="17"/>
      <c r="F13" s="18" t="s">
        <v>83</v>
      </c>
    </row>
    <row r="14" spans="1:9" ht="15.75" customHeight="1" x14ac:dyDescent="0.3">
      <c r="A14" s="14">
        <v>13</v>
      </c>
      <c r="B14" s="16" t="s">
        <v>59</v>
      </c>
      <c r="C14" s="16" t="s">
        <v>60</v>
      </c>
      <c r="D14" s="17"/>
      <c r="E14" s="17"/>
      <c r="F14" s="18" t="s">
        <v>83</v>
      </c>
    </row>
    <row r="15" spans="1:9" ht="15.75" customHeight="1" x14ac:dyDescent="0.3">
      <c r="A15" s="14">
        <v>14</v>
      </c>
      <c r="B15" s="16" t="s">
        <v>61</v>
      </c>
      <c r="C15" s="16" t="s">
        <v>62</v>
      </c>
      <c r="D15" s="17"/>
      <c r="E15" s="17"/>
      <c r="F15" s="18" t="s">
        <v>83</v>
      </c>
    </row>
    <row r="16" spans="1:9" ht="15.75" customHeight="1" x14ac:dyDescent="0.3">
      <c r="A16" s="14">
        <v>15</v>
      </c>
      <c r="B16" s="16" t="s">
        <v>63</v>
      </c>
      <c r="C16" s="16" t="s">
        <v>64</v>
      </c>
      <c r="D16" s="17"/>
      <c r="E16" s="17"/>
      <c r="F16" s="18" t="s">
        <v>83</v>
      </c>
    </row>
    <row r="17" spans="1:6" ht="15.75" customHeight="1" x14ac:dyDescent="0.3">
      <c r="A17" s="14">
        <v>16</v>
      </c>
      <c r="B17" s="16" t="s">
        <v>65</v>
      </c>
      <c r="C17" s="16" t="s">
        <v>66</v>
      </c>
      <c r="D17" s="17"/>
      <c r="E17" s="17"/>
      <c r="F17" s="18" t="s">
        <v>83</v>
      </c>
    </row>
    <row r="18" spans="1:6" ht="15.75" customHeight="1" x14ac:dyDescent="0.3">
      <c r="A18" s="14">
        <v>17</v>
      </c>
      <c r="B18" s="16" t="s">
        <v>42</v>
      </c>
      <c r="C18" s="16" t="s">
        <v>37</v>
      </c>
      <c r="D18" s="17"/>
      <c r="E18" s="17"/>
      <c r="F18" s="18" t="s">
        <v>83</v>
      </c>
    </row>
    <row r="19" spans="1:6" ht="15.75" customHeight="1" x14ac:dyDescent="0.3">
      <c r="A19" s="14">
        <v>18</v>
      </c>
      <c r="B19" s="16" t="s">
        <v>34</v>
      </c>
      <c r="C19" s="16" t="s">
        <v>38</v>
      </c>
      <c r="D19" s="17"/>
      <c r="E19" s="17"/>
      <c r="F19" s="18" t="s">
        <v>83</v>
      </c>
    </row>
    <row r="20" spans="1:6" ht="15.75" customHeight="1" x14ac:dyDescent="0.3">
      <c r="A20" s="14">
        <v>19</v>
      </c>
      <c r="B20" s="16" t="s">
        <v>39</v>
      </c>
      <c r="C20" s="16" t="s">
        <v>35</v>
      </c>
      <c r="D20" s="17"/>
      <c r="E20" s="17"/>
      <c r="F20" s="18" t="s">
        <v>83</v>
      </c>
    </row>
    <row r="21" spans="1:6" ht="15.75" customHeight="1" x14ac:dyDescent="0.3">
      <c r="A21" s="14">
        <v>20</v>
      </c>
      <c r="B21" s="16" t="s">
        <v>36</v>
      </c>
      <c r="C21" s="16" t="s">
        <v>41</v>
      </c>
      <c r="D21" s="17"/>
      <c r="E21" s="17"/>
      <c r="F21" s="18" t="s">
        <v>83</v>
      </c>
    </row>
    <row r="22" spans="1:6" ht="15.75" customHeight="1" x14ac:dyDescent="0.3">
      <c r="A22" s="14">
        <v>21</v>
      </c>
      <c r="B22" s="16" t="s">
        <v>46</v>
      </c>
      <c r="C22" s="21" t="s">
        <v>50</v>
      </c>
      <c r="D22" s="17"/>
      <c r="E22" s="17"/>
      <c r="F22" s="18" t="s">
        <v>76</v>
      </c>
    </row>
    <row r="23" spans="1:6" ht="15.75" customHeight="1" x14ac:dyDescent="0.3">
      <c r="A23" s="14">
        <v>22</v>
      </c>
      <c r="B23" s="16" t="s">
        <v>48</v>
      </c>
      <c r="C23" s="16" t="s">
        <v>44</v>
      </c>
      <c r="D23" s="17"/>
      <c r="E23" s="17"/>
      <c r="F23" s="18" t="s">
        <v>83</v>
      </c>
    </row>
    <row r="24" spans="1:6" ht="15.75" customHeight="1" x14ac:dyDescent="0.3">
      <c r="A24" s="14">
        <v>23</v>
      </c>
      <c r="B24" s="16" t="s">
        <v>49</v>
      </c>
      <c r="C24" s="16" t="s">
        <v>45</v>
      </c>
      <c r="D24" s="17"/>
      <c r="E24" s="17"/>
      <c r="F24" s="18" t="s">
        <v>83</v>
      </c>
    </row>
    <row r="25" spans="1:6" ht="15.75" customHeight="1" x14ac:dyDescent="0.3">
      <c r="A25" s="14">
        <v>24</v>
      </c>
      <c r="B25" s="16" t="s">
        <v>43</v>
      </c>
      <c r="C25" s="16" t="s">
        <v>47</v>
      </c>
      <c r="D25" s="17"/>
      <c r="E25" s="17"/>
      <c r="F25" s="18" t="s">
        <v>83</v>
      </c>
    </row>
    <row r="26" spans="1:6" ht="15.75" customHeight="1" x14ac:dyDescent="0.3">
      <c r="A26" s="14">
        <v>25</v>
      </c>
      <c r="B26" s="16" t="s">
        <v>54</v>
      </c>
      <c r="C26" s="16" t="s">
        <v>56</v>
      </c>
      <c r="D26" s="17"/>
      <c r="E26" s="17"/>
      <c r="F26" s="18" t="s">
        <v>83</v>
      </c>
    </row>
    <row r="27" spans="1:6" ht="15.75" customHeight="1" x14ac:dyDescent="0.3">
      <c r="A27" s="14">
        <v>26</v>
      </c>
      <c r="B27" s="16" t="s">
        <v>57</v>
      </c>
      <c r="C27" s="16" t="s">
        <v>51</v>
      </c>
      <c r="D27" s="17"/>
      <c r="E27" s="17"/>
      <c r="F27" s="18" t="s">
        <v>83</v>
      </c>
    </row>
    <row r="28" spans="1:6" ht="15.75" customHeight="1" x14ac:dyDescent="0.3">
      <c r="A28" s="14">
        <v>27</v>
      </c>
      <c r="B28" s="16" t="s">
        <v>52</v>
      </c>
      <c r="C28" s="16" t="s">
        <v>58</v>
      </c>
      <c r="D28" s="17"/>
      <c r="E28" s="17"/>
      <c r="F28" s="18" t="s">
        <v>83</v>
      </c>
    </row>
    <row r="29" spans="1:6" ht="15.75" customHeight="1" x14ac:dyDescent="0.3">
      <c r="A29" s="14">
        <v>28</v>
      </c>
      <c r="B29" s="16" t="s">
        <v>55</v>
      </c>
      <c r="C29" s="16" t="s">
        <v>53</v>
      </c>
      <c r="D29" s="17"/>
      <c r="E29" s="17"/>
      <c r="F29" s="18" t="s">
        <v>83</v>
      </c>
    </row>
    <row r="30" spans="1:6" ht="15.75" customHeight="1" x14ac:dyDescent="0.3">
      <c r="A30" s="14">
        <v>29</v>
      </c>
      <c r="B30" s="16" t="s">
        <v>60</v>
      </c>
      <c r="C30" s="16" t="s">
        <v>66</v>
      </c>
      <c r="D30" s="17"/>
      <c r="E30" s="17"/>
      <c r="F30" s="18" t="s">
        <v>76</v>
      </c>
    </row>
    <row r="31" spans="1:6" ht="15.75" customHeight="1" x14ac:dyDescent="0.3">
      <c r="A31" s="14">
        <v>30</v>
      </c>
      <c r="B31" s="16" t="s">
        <v>62</v>
      </c>
      <c r="C31" s="16" t="s">
        <v>64</v>
      </c>
      <c r="D31" s="17"/>
      <c r="E31" s="17"/>
      <c r="F31" s="18" t="s">
        <v>83</v>
      </c>
    </row>
    <row r="32" spans="1:6" ht="15.75" customHeight="1" x14ac:dyDescent="0.3">
      <c r="A32" s="14">
        <v>31</v>
      </c>
      <c r="B32" s="16" t="s">
        <v>65</v>
      </c>
      <c r="C32" s="16" t="s">
        <v>59</v>
      </c>
      <c r="D32" s="17"/>
      <c r="E32" s="17"/>
      <c r="F32" s="18" t="s">
        <v>83</v>
      </c>
    </row>
    <row r="33" spans="1:6" ht="15.75" customHeight="1" x14ac:dyDescent="0.3">
      <c r="A33" s="14">
        <v>32</v>
      </c>
      <c r="B33" s="16" t="s">
        <v>63</v>
      </c>
      <c r="C33" s="16" t="s">
        <v>61</v>
      </c>
      <c r="D33" s="17"/>
      <c r="E33" s="17"/>
      <c r="F33" s="18" t="s">
        <v>83</v>
      </c>
    </row>
    <row r="34" spans="1:6" ht="15.75" customHeight="1" x14ac:dyDescent="0.3">
      <c r="A34" s="14">
        <v>33</v>
      </c>
      <c r="B34" s="16" t="s">
        <v>35</v>
      </c>
      <c r="C34" s="16" t="s">
        <v>38</v>
      </c>
      <c r="D34" s="17"/>
      <c r="E34" s="17"/>
      <c r="F34" s="18" t="s">
        <v>76</v>
      </c>
    </row>
    <row r="35" spans="1:6" ht="15.75" customHeight="1" x14ac:dyDescent="0.3">
      <c r="A35" s="14">
        <v>34</v>
      </c>
      <c r="B35" s="16" t="s">
        <v>39</v>
      </c>
      <c r="C35" s="16" t="s">
        <v>34</v>
      </c>
      <c r="D35" s="17"/>
      <c r="E35" s="17"/>
      <c r="F35" s="18" t="s">
        <v>83</v>
      </c>
    </row>
    <row r="36" spans="1:6" ht="15.75" customHeight="1" x14ac:dyDescent="0.3">
      <c r="A36" s="14">
        <v>35</v>
      </c>
      <c r="B36" s="16" t="s">
        <v>37</v>
      </c>
      <c r="C36" s="16" t="s">
        <v>41</v>
      </c>
      <c r="D36" s="17"/>
      <c r="E36" s="17"/>
      <c r="F36" s="18" t="str">
        <f t="shared" ref="F2:F49" si="0">IF(D36&gt;E36,"H",IF(D36&lt;E36,"A","D"))</f>
        <v>D</v>
      </c>
    </row>
    <row r="37" spans="1:6" ht="15.75" customHeight="1" x14ac:dyDescent="0.3">
      <c r="A37" s="14">
        <v>36</v>
      </c>
      <c r="B37" s="16" t="s">
        <v>42</v>
      </c>
      <c r="C37" s="16" t="s">
        <v>36</v>
      </c>
      <c r="D37" s="17"/>
      <c r="E37" s="17"/>
      <c r="F37" s="18" t="s">
        <v>76</v>
      </c>
    </row>
    <row r="38" spans="1:6" ht="15.75" customHeight="1" x14ac:dyDescent="0.3">
      <c r="A38" s="14">
        <v>37</v>
      </c>
      <c r="B38" s="16" t="s">
        <v>46</v>
      </c>
      <c r="C38" s="16" t="s">
        <v>49</v>
      </c>
      <c r="D38" s="17"/>
      <c r="E38" s="17"/>
      <c r="F38" s="18" t="str">
        <f t="shared" si="0"/>
        <v>D</v>
      </c>
    </row>
    <row r="39" spans="1:6" ht="15.75" customHeight="1" x14ac:dyDescent="0.3">
      <c r="A39" s="14">
        <v>38</v>
      </c>
      <c r="B39" s="16" t="s">
        <v>50</v>
      </c>
      <c r="C39" s="16" t="s">
        <v>45</v>
      </c>
      <c r="D39" s="17"/>
      <c r="E39" s="17"/>
      <c r="F39" s="18" t="s">
        <v>83</v>
      </c>
    </row>
    <row r="40" spans="1:6" ht="15.75" customHeight="1" x14ac:dyDescent="0.3">
      <c r="A40" s="14">
        <v>39</v>
      </c>
      <c r="B40" s="16" t="s">
        <v>48</v>
      </c>
      <c r="C40" s="16" t="s">
        <v>43</v>
      </c>
      <c r="D40" s="17"/>
      <c r="E40" s="17"/>
      <c r="F40" s="18" t="s">
        <v>76</v>
      </c>
    </row>
    <row r="41" spans="1:6" ht="15.75" customHeight="1" x14ac:dyDescent="0.3">
      <c r="A41" s="14">
        <v>40</v>
      </c>
      <c r="B41" s="16" t="s">
        <v>44</v>
      </c>
      <c r="C41" s="16" t="s">
        <v>47</v>
      </c>
      <c r="D41" s="17"/>
      <c r="E41" s="17"/>
      <c r="F41" s="18" t="s">
        <v>76</v>
      </c>
    </row>
    <row r="42" spans="1:6" ht="15.75" customHeight="1" x14ac:dyDescent="0.3">
      <c r="A42" s="14">
        <v>41</v>
      </c>
      <c r="B42" s="16" t="s">
        <v>52</v>
      </c>
      <c r="C42" s="16" t="s">
        <v>57</v>
      </c>
      <c r="D42" s="17"/>
      <c r="E42" s="17"/>
      <c r="F42" s="18" t="s">
        <v>83</v>
      </c>
    </row>
    <row r="43" spans="1:6" ht="15.75" customHeight="1" x14ac:dyDescent="0.3">
      <c r="A43" s="14">
        <v>42</v>
      </c>
      <c r="B43" s="16" t="s">
        <v>58</v>
      </c>
      <c r="C43" s="16" t="s">
        <v>51</v>
      </c>
      <c r="D43" s="17"/>
      <c r="E43" s="17"/>
      <c r="F43" s="18" t="s">
        <v>79</v>
      </c>
    </row>
    <row r="44" spans="1:6" ht="15.75" customHeight="1" x14ac:dyDescent="0.3">
      <c r="A44" s="14">
        <v>43</v>
      </c>
      <c r="B44" s="16" t="s">
        <v>54</v>
      </c>
      <c r="C44" s="16" t="s">
        <v>55</v>
      </c>
      <c r="D44" s="17"/>
      <c r="E44" s="17"/>
      <c r="F44" s="18" t="str">
        <f t="shared" si="0"/>
        <v>D</v>
      </c>
    </row>
    <row r="45" spans="1:6" ht="15.75" customHeight="1" x14ac:dyDescent="0.3">
      <c r="A45" s="14">
        <v>44</v>
      </c>
      <c r="B45" s="16" t="s">
        <v>56</v>
      </c>
      <c r="C45" s="16" t="s">
        <v>53</v>
      </c>
      <c r="D45" s="17"/>
      <c r="E45" s="17"/>
      <c r="F45" s="18" t="s">
        <v>76</v>
      </c>
    </row>
    <row r="46" spans="1:6" ht="15.75" customHeight="1" x14ac:dyDescent="0.3">
      <c r="A46" s="14">
        <v>45</v>
      </c>
      <c r="B46" s="16" t="s">
        <v>62</v>
      </c>
      <c r="C46" s="16" t="s">
        <v>63</v>
      </c>
      <c r="D46" s="17"/>
      <c r="E46" s="17"/>
      <c r="F46" s="18" t="s">
        <v>76</v>
      </c>
    </row>
    <row r="47" spans="1:6" ht="15.75" customHeight="1" x14ac:dyDescent="0.3">
      <c r="A47" s="14">
        <v>46</v>
      </c>
      <c r="B47" s="16" t="s">
        <v>64</v>
      </c>
      <c r="C47" s="16" t="s">
        <v>61</v>
      </c>
      <c r="D47" s="17"/>
      <c r="E47" s="17"/>
      <c r="F47" s="18" t="s">
        <v>76</v>
      </c>
    </row>
    <row r="48" spans="1:6" ht="15.75" customHeight="1" x14ac:dyDescent="0.3">
      <c r="A48" s="14">
        <v>47</v>
      </c>
      <c r="B48" s="16" t="s">
        <v>66</v>
      </c>
      <c r="C48" s="16" t="s">
        <v>59</v>
      </c>
      <c r="D48" s="17"/>
      <c r="E48" s="17"/>
      <c r="F48" s="18" t="s">
        <v>76</v>
      </c>
    </row>
    <row r="49" spans="1:6" ht="15.75" customHeight="1" x14ac:dyDescent="0.3">
      <c r="A49" s="14">
        <v>48</v>
      </c>
      <c r="B49" s="16" t="s">
        <v>60</v>
      </c>
      <c r="C49" s="16" t="s">
        <v>65</v>
      </c>
      <c r="D49" s="17"/>
      <c r="E49" s="17"/>
      <c r="F49" s="18" t="s">
        <v>76</v>
      </c>
    </row>
    <row r="50" spans="1:6" ht="15.75" customHeight="1" x14ac:dyDescent="0.2"/>
    <row r="51" spans="1:6" ht="15.75" customHeight="1" x14ac:dyDescent="0.2"/>
    <row r="52" spans="1:6" ht="15.75" customHeight="1" x14ac:dyDescent="0.2"/>
    <row r="53" spans="1:6" ht="15.75" customHeight="1" x14ac:dyDescent="0.2"/>
    <row r="54" spans="1:6" ht="15.75" customHeight="1" x14ac:dyDescent="0.2"/>
    <row r="55" spans="1:6" ht="15.75" customHeight="1" x14ac:dyDescent="0.2"/>
    <row r="56" spans="1:6" ht="15.75" customHeight="1" x14ac:dyDescent="0.2"/>
    <row r="57" spans="1:6" ht="15.75" customHeight="1" x14ac:dyDescent="0.2"/>
    <row r="58" spans="1:6" ht="15.75" customHeight="1" x14ac:dyDescent="0.2"/>
    <row r="59" spans="1:6" ht="15.75" customHeight="1" x14ac:dyDescent="0.2"/>
    <row r="60" spans="1:6" ht="15.75" customHeight="1" x14ac:dyDescent="0.2"/>
    <row r="61" spans="1:6" ht="15.75" customHeight="1" x14ac:dyDescent="0.2"/>
    <row r="62" spans="1:6" ht="15.75" customHeight="1" x14ac:dyDescent="0.2"/>
    <row r="63" spans="1:6" ht="15.75" customHeight="1" x14ac:dyDescent="0.2"/>
    <row r="64" spans="1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F49" xr:uid="{00000000-0009-0000-0000-000001000000}"/>
  <mergeCells count="1">
    <mergeCell ref="H1:I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95"/>
  <sheetViews>
    <sheetView workbookViewId="0">
      <pane ySplit="1" topLeftCell="A2" activePane="bottomLeft" state="frozen"/>
      <selection pane="bottomLeft" activeCell="I22" sqref="I22"/>
    </sheetView>
  </sheetViews>
  <sheetFormatPr defaultColWidth="12.5703125" defaultRowHeight="15" customHeight="1" x14ac:dyDescent="0.2"/>
  <cols>
    <col min="1" max="1" width="14.85546875" customWidth="1"/>
    <col min="2" max="2" width="14.85546875" hidden="1" customWidth="1"/>
    <col min="3" max="3" width="21.85546875" customWidth="1"/>
    <col min="4" max="9" width="20.140625" customWidth="1"/>
    <col min="10" max="26" width="14.42578125" customWidth="1"/>
  </cols>
  <sheetData>
    <row r="1" spans="1:9" ht="15.75" customHeight="1" x14ac:dyDescent="0.3">
      <c r="A1" s="14" t="s">
        <v>67</v>
      </c>
      <c r="B1" s="14" t="s">
        <v>68</v>
      </c>
      <c r="C1" s="14" t="s">
        <v>69</v>
      </c>
      <c r="D1" s="14" t="s">
        <v>70</v>
      </c>
      <c r="E1" s="14" t="s">
        <v>71</v>
      </c>
      <c r="F1" s="14" t="s">
        <v>72</v>
      </c>
      <c r="G1" s="14" t="s">
        <v>73</v>
      </c>
      <c r="H1" s="14" t="s">
        <v>74</v>
      </c>
      <c r="I1" s="14" t="s">
        <v>75</v>
      </c>
    </row>
    <row r="2" spans="1:9" ht="15.75" customHeight="1" x14ac:dyDescent="0.3">
      <c r="A2" s="15" t="s">
        <v>34</v>
      </c>
      <c r="B2" s="14" t="str">
        <f t="shared" ref="B2:B33" si="0">C2&amp;D2</f>
        <v>A2</v>
      </c>
      <c r="C2" s="14" t="s">
        <v>76</v>
      </c>
      <c r="D2" s="22">
        <v>2</v>
      </c>
      <c r="E2" s="23">
        <f t="shared" ref="E2:E33" si="1">IF(D2&lt;3,1,"")</f>
        <v>1</v>
      </c>
      <c r="F2" s="22"/>
      <c r="G2" s="22"/>
      <c r="H2" s="22"/>
      <c r="I2" s="22"/>
    </row>
    <row r="3" spans="1:9" ht="15.75" customHeight="1" x14ac:dyDescent="0.3">
      <c r="A3" s="15" t="s">
        <v>35</v>
      </c>
      <c r="B3" s="14" t="str">
        <f t="shared" si="0"/>
        <v>A3</v>
      </c>
      <c r="C3" s="14" t="s">
        <v>76</v>
      </c>
      <c r="D3" s="22">
        <v>3</v>
      </c>
      <c r="E3" s="23" t="str">
        <f t="shared" si="1"/>
        <v/>
      </c>
      <c r="F3" s="22"/>
      <c r="G3" s="22"/>
      <c r="H3" s="22"/>
      <c r="I3" s="22"/>
    </row>
    <row r="4" spans="1:9" ht="15.75" customHeight="1" x14ac:dyDescent="0.3">
      <c r="A4" s="15" t="s">
        <v>38</v>
      </c>
      <c r="B4" s="14" t="str">
        <f t="shared" si="0"/>
        <v>A4</v>
      </c>
      <c r="C4" s="14" t="s">
        <v>76</v>
      </c>
      <c r="D4" s="22">
        <v>4</v>
      </c>
      <c r="E4" s="23" t="str">
        <f t="shared" si="1"/>
        <v/>
      </c>
      <c r="F4" s="22"/>
      <c r="G4" s="22"/>
      <c r="H4" s="22"/>
      <c r="I4" s="22"/>
    </row>
    <row r="5" spans="1:9" ht="15.75" customHeight="1" x14ac:dyDescent="0.3">
      <c r="A5" s="15" t="s">
        <v>39</v>
      </c>
      <c r="B5" s="14" t="str">
        <f t="shared" si="0"/>
        <v>A1</v>
      </c>
      <c r="C5" s="14" t="s">
        <v>76</v>
      </c>
      <c r="D5" s="22">
        <v>1</v>
      </c>
      <c r="E5" s="23">
        <f t="shared" si="1"/>
        <v>1</v>
      </c>
      <c r="F5" s="22">
        <v>1</v>
      </c>
      <c r="G5" s="22">
        <v>1</v>
      </c>
      <c r="H5" s="22">
        <v>1</v>
      </c>
      <c r="I5" s="22"/>
    </row>
    <row r="6" spans="1:9" ht="15.75" customHeight="1" x14ac:dyDescent="0.3">
      <c r="A6" s="15" t="s">
        <v>36</v>
      </c>
      <c r="B6" s="14" t="str">
        <f t="shared" si="0"/>
        <v>B1</v>
      </c>
      <c r="C6" s="14" t="s">
        <v>77</v>
      </c>
      <c r="D6" s="22">
        <v>1</v>
      </c>
      <c r="E6" s="23">
        <f t="shared" si="1"/>
        <v>1</v>
      </c>
      <c r="F6" s="22">
        <v>1</v>
      </c>
      <c r="G6" s="22"/>
      <c r="H6" s="22"/>
      <c r="I6" s="22"/>
    </row>
    <row r="7" spans="1:9" ht="15.75" customHeight="1" x14ac:dyDescent="0.3">
      <c r="A7" s="15" t="s">
        <v>37</v>
      </c>
      <c r="B7" s="14" t="str">
        <f t="shared" si="0"/>
        <v>B4</v>
      </c>
      <c r="C7" s="14" t="s">
        <v>77</v>
      </c>
      <c r="D7" s="22">
        <v>4</v>
      </c>
      <c r="E7" s="23" t="str">
        <f t="shared" si="1"/>
        <v/>
      </c>
      <c r="F7" s="22"/>
      <c r="G7" s="22"/>
      <c r="H7" s="22"/>
      <c r="I7" s="22"/>
    </row>
    <row r="8" spans="1:9" ht="15.75" customHeight="1" x14ac:dyDescent="0.3">
      <c r="A8" s="15" t="s">
        <v>41</v>
      </c>
      <c r="B8" s="14" t="str">
        <f t="shared" si="0"/>
        <v>B2</v>
      </c>
      <c r="C8" s="14" t="s">
        <v>77</v>
      </c>
      <c r="D8" s="22">
        <v>2</v>
      </c>
      <c r="E8" s="23">
        <f t="shared" si="1"/>
        <v>1</v>
      </c>
      <c r="F8" s="22"/>
      <c r="G8" s="22"/>
      <c r="H8" s="22"/>
      <c r="I8" s="22"/>
    </row>
    <row r="9" spans="1:9" ht="15.75" customHeight="1" x14ac:dyDescent="0.3">
      <c r="A9" s="15" t="s">
        <v>42</v>
      </c>
      <c r="B9" s="14" t="str">
        <f t="shared" si="0"/>
        <v>B3</v>
      </c>
      <c r="C9" s="14" t="s">
        <v>77</v>
      </c>
      <c r="D9" s="22">
        <v>3</v>
      </c>
      <c r="E9" s="23" t="str">
        <f t="shared" si="1"/>
        <v/>
      </c>
      <c r="F9" s="22"/>
      <c r="G9" s="22"/>
      <c r="H9" s="22"/>
      <c r="I9" s="22"/>
    </row>
    <row r="10" spans="1:9" ht="15.75" customHeight="1" x14ac:dyDescent="0.3">
      <c r="A10" s="15" t="s">
        <v>43</v>
      </c>
      <c r="B10" s="14" t="str">
        <f t="shared" si="0"/>
        <v>C1</v>
      </c>
      <c r="C10" s="14" t="s">
        <v>78</v>
      </c>
      <c r="D10" s="22">
        <v>1</v>
      </c>
      <c r="E10" s="23">
        <f t="shared" si="1"/>
        <v>1</v>
      </c>
      <c r="F10" s="22">
        <v>1</v>
      </c>
      <c r="G10" s="22"/>
      <c r="H10" s="22"/>
      <c r="I10" s="22"/>
    </row>
    <row r="11" spans="1:9" ht="15.75" customHeight="1" x14ac:dyDescent="0.3">
      <c r="A11" s="15" t="s">
        <v>44</v>
      </c>
      <c r="B11" s="14" t="str">
        <f t="shared" si="0"/>
        <v>C4</v>
      </c>
      <c r="C11" s="14" t="s">
        <v>78</v>
      </c>
      <c r="D11" s="22">
        <v>4</v>
      </c>
      <c r="E11" s="23" t="str">
        <f t="shared" si="1"/>
        <v/>
      </c>
      <c r="F11" s="22"/>
      <c r="G11" s="22"/>
      <c r="H11" s="22"/>
      <c r="I11" s="22"/>
    </row>
    <row r="12" spans="1:9" ht="15.75" customHeight="1" x14ac:dyDescent="0.3">
      <c r="A12" s="15" t="s">
        <v>47</v>
      </c>
      <c r="B12" s="14" t="str">
        <f t="shared" si="0"/>
        <v>C3</v>
      </c>
      <c r="C12" s="14" t="s">
        <v>78</v>
      </c>
      <c r="D12" s="22">
        <v>3</v>
      </c>
      <c r="E12" s="23" t="str">
        <f t="shared" si="1"/>
        <v/>
      </c>
      <c r="F12" s="22"/>
      <c r="G12" s="22"/>
      <c r="H12" s="22"/>
      <c r="I12" s="22"/>
    </row>
    <row r="13" spans="1:9" ht="15.75" customHeight="1" x14ac:dyDescent="0.3">
      <c r="A13" s="15" t="s">
        <v>48</v>
      </c>
      <c r="B13" s="14" t="str">
        <f t="shared" si="0"/>
        <v>C2</v>
      </c>
      <c r="C13" s="14" t="s">
        <v>78</v>
      </c>
      <c r="D13" s="22">
        <v>2</v>
      </c>
      <c r="E13" s="23">
        <f t="shared" si="1"/>
        <v>1</v>
      </c>
      <c r="F13" s="22"/>
      <c r="G13" s="22"/>
      <c r="H13" s="22"/>
      <c r="I13" s="22"/>
    </row>
    <row r="14" spans="1:9" ht="15.75" customHeight="1" x14ac:dyDescent="0.3">
      <c r="A14" s="15" t="s">
        <v>49</v>
      </c>
      <c r="B14" s="14" t="str">
        <f t="shared" si="0"/>
        <v>D2</v>
      </c>
      <c r="C14" s="14" t="s">
        <v>79</v>
      </c>
      <c r="D14" s="22">
        <v>2</v>
      </c>
      <c r="E14" s="23">
        <f t="shared" si="1"/>
        <v>1</v>
      </c>
      <c r="F14" s="22"/>
      <c r="G14" s="22"/>
      <c r="H14" s="22"/>
      <c r="I14" s="22"/>
    </row>
    <row r="15" spans="1:9" ht="15.75" customHeight="1" x14ac:dyDescent="0.3">
      <c r="A15" s="15" t="s">
        <v>50</v>
      </c>
      <c r="B15" s="14" t="str">
        <f t="shared" si="0"/>
        <v>D1</v>
      </c>
      <c r="C15" s="14" t="s">
        <v>79</v>
      </c>
      <c r="D15" s="22">
        <v>1</v>
      </c>
      <c r="E15" s="23">
        <f t="shared" si="1"/>
        <v>1</v>
      </c>
      <c r="F15" s="22">
        <v>1</v>
      </c>
      <c r="G15" s="22">
        <v>1</v>
      </c>
      <c r="H15" s="22"/>
      <c r="I15" s="22"/>
    </row>
    <row r="16" spans="1:9" ht="15.75" customHeight="1" x14ac:dyDescent="0.3">
      <c r="A16" s="15" t="s">
        <v>45</v>
      </c>
      <c r="B16" s="14" t="str">
        <f t="shared" si="0"/>
        <v>D3</v>
      </c>
      <c r="C16" s="14" t="s">
        <v>79</v>
      </c>
      <c r="D16" s="22">
        <v>3</v>
      </c>
      <c r="E16" s="23" t="str">
        <f t="shared" si="1"/>
        <v/>
      </c>
      <c r="F16" s="22"/>
      <c r="G16" s="22"/>
      <c r="H16" s="22"/>
      <c r="I16" s="22"/>
    </row>
    <row r="17" spans="1:9" ht="15.75" customHeight="1" x14ac:dyDescent="0.3">
      <c r="A17" s="15" t="s">
        <v>46</v>
      </c>
      <c r="B17" s="14" t="str">
        <f t="shared" si="0"/>
        <v>D4</v>
      </c>
      <c r="C17" s="14" t="s">
        <v>79</v>
      </c>
      <c r="D17" s="22">
        <v>4</v>
      </c>
      <c r="E17" s="23" t="str">
        <f t="shared" si="1"/>
        <v/>
      </c>
      <c r="F17" s="22"/>
      <c r="G17" s="22"/>
      <c r="H17" s="22"/>
      <c r="I17" s="22"/>
    </row>
    <row r="18" spans="1:9" ht="15.75" customHeight="1" x14ac:dyDescent="0.3">
      <c r="A18" s="15" t="s">
        <v>55</v>
      </c>
      <c r="B18" s="14" t="str">
        <f t="shared" si="0"/>
        <v>E1</v>
      </c>
      <c r="C18" s="14" t="s">
        <v>80</v>
      </c>
      <c r="D18" s="22">
        <v>1</v>
      </c>
      <c r="E18" s="23">
        <f t="shared" si="1"/>
        <v>1</v>
      </c>
      <c r="F18" s="22"/>
      <c r="G18" s="22"/>
      <c r="H18" s="22"/>
      <c r="I18" s="22"/>
    </row>
    <row r="19" spans="1:9" ht="15.75" customHeight="1" x14ac:dyDescent="0.3">
      <c r="A19" s="14" t="s">
        <v>56</v>
      </c>
      <c r="B19" s="14" t="str">
        <f t="shared" si="0"/>
        <v>E3</v>
      </c>
      <c r="C19" s="14" t="s">
        <v>80</v>
      </c>
      <c r="D19" s="22">
        <v>3</v>
      </c>
      <c r="E19" s="23" t="str">
        <f t="shared" si="1"/>
        <v/>
      </c>
      <c r="F19" s="22"/>
      <c r="G19" s="22"/>
      <c r="H19" s="22"/>
      <c r="I19" s="22"/>
    </row>
    <row r="20" spans="1:9" ht="15.75" customHeight="1" x14ac:dyDescent="0.3">
      <c r="A20" s="15" t="s">
        <v>53</v>
      </c>
      <c r="B20" s="14" t="str">
        <f t="shared" si="0"/>
        <v>E2</v>
      </c>
      <c r="C20" s="14" t="s">
        <v>80</v>
      </c>
      <c r="D20" s="22">
        <v>2</v>
      </c>
      <c r="E20" s="23">
        <f t="shared" si="1"/>
        <v>1</v>
      </c>
      <c r="F20" s="22">
        <v>1</v>
      </c>
      <c r="G20" s="22"/>
      <c r="H20" s="22"/>
      <c r="I20" s="22"/>
    </row>
    <row r="21" spans="1:9" ht="15.75" customHeight="1" x14ac:dyDescent="0.3">
      <c r="A21" s="15" t="s">
        <v>54</v>
      </c>
      <c r="B21" s="14" t="str">
        <f t="shared" si="0"/>
        <v>E4</v>
      </c>
      <c r="C21" s="14" t="s">
        <v>80</v>
      </c>
      <c r="D21" s="22">
        <v>4</v>
      </c>
      <c r="E21" s="23" t="str">
        <f t="shared" si="1"/>
        <v/>
      </c>
      <c r="F21" s="22"/>
      <c r="G21" s="22"/>
      <c r="H21" s="22"/>
      <c r="I21" s="22"/>
    </row>
    <row r="22" spans="1:9" ht="15.75" customHeight="1" x14ac:dyDescent="0.3">
      <c r="A22" s="15" t="s">
        <v>57</v>
      </c>
      <c r="B22" s="14" t="str">
        <f t="shared" si="0"/>
        <v>F1</v>
      </c>
      <c r="C22" s="14" t="s">
        <v>81</v>
      </c>
      <c r="D22" s="22">
        <v>1</v>
      </c>
      <c r="E22" s="23">
        <f t="shared" si="1"/>
        <v>1</v>
      </c>
      <c r="F22" s="22">
        <v>1</v>
      </c>
      <c r="G22" s="22">
        <v>1</v>
      </c>
      <c r="H22" s="22">
        <v>1</v>
      </c>
      <c r="I22" s="22">
        <v>1</v>
      </c>
    </row>
    <row r="23" spans="1:9" ht="15.75" customHeight="1" x14ac:dyDescent="0.3">
      <c r="A23" s="15" t="s">
        <v>58</v>
      </c>
      <c r="B23" s="14" t="str">
        <f t="shared" si="0"/>
        <v>F2</v>
      </c>
      <c r="C23" s="14" t="s">
        <v>81</v>
      </c>
      <c r="D23" s="22">
        <v>2</v>
      </c>
      <c r="E23" s="23">
        <f t="shared" si="1"/>
        <v>1</v>
      </c>
      <c r="F23" s="22"/>
      <c r="G23" s="22"/>
      <c r="H23" s="22"/>
      <c r="I23" s="22"/>
    </row>
    <row r="24" spans="1:9" ht="15.75" customHeight="1" x14ac:dyDescent="0.3">
      <c r="A24" s="15" t="s">
        <v>51</v>
      </c>
      <c r="B24" s="14" t="str">
        <f t="shared" si="0"/>
        <v>F3</v>
      </c>
      <c r="C24" s="14" t="s">
        <v>81</v>
      </c>
      <c r="D24" s="22">
        <v>3</v>
      </c>
      <c r="E24" s="23" t="str">
        <f t="shared" si="1"/>
        <v/>
      </c>
      <c r="F24" s="22"/>
      <c r="G24" s="22"/>
      <c r="H24" s="22"/>
      <c r="I24" s="22"/>
    </row>
    <row r="25" spans="1:9" ht="15.75" customHeight="1" x14ac:dyDescent="0.3">
      <c r="A25" s="15" t="s">
        <v>52</v>
      </c>
      <c r="B25" s="14" t="str">
        <f t="shared" si="0"/>
        <v>F4</v>
      </c>
      <c r="C25" s="14" t="s">
        <v>81</v>
      </c>
      <c r="D25" s="22">
        <v>4</v>
      </c>
      <c r="E25" s="23" t="str">
        <f t="shared" si="1"/>
        <v/>
      </c>
      <c r="F25" s="22"/>
      <c r="G25" s="22"/>
      <c r="H25" s="22"/>
      <c r="I25" s="22"/>
    </row>
    <row r="26" spans="1:9" ht="15.75" customHeight="1" x14ac:dyDescent="0.3">
      <c r="A26" s="15" t="s">
        <v>65</v>
      </c>
      <c r="B26" s="14" t="str">
        <f t="shared" si="0"/>
        <v>G1</v>
      </c>
      <c r="C26" s="14" t="s">
        <v>82</v>
      </c>
      <c r="D26" s="22">
        <v>1</v>
      </c>
      <c r="E26" s="23">
        <f t="shared" si="1"/>
        <v>1</v>
      </c>
      <c r="F26" s="22">
        <v>1</v>
      </c>
      <c r="G26" s="22">
        <v>1</v>
      </c>
      <c r="H26" s="22"/>
      <c r="I26" s="22"/>
    </row>
    <row r="27" spans="1:9" ht="15.75" customHeight="1" x14ac:dyDescent="0.3">
      <c r="A27" s="15" t="s">
        <v>66</v>
      </c>
      <c r="B27" s="14" t="str">
        <f t="shared" si="0"/>
        <v>G2</v>
      </c>
      <c r="C27" s="14" t="s">
        <v>82</v>
      </c>
      <c r="D27" s="22">
        <v>2</v>
      </c>
      <c r="E27" s="23">
        <f t="shared" si="1"/>
        <v>1</v>
      </c>
      <c r="F27" s="22"/>
      <c r="G27" s="22"/>
      <c r="H27" s="22"/>
      <c r="I27" s="22"/>
    </row>
    <row r="28" spans="1:9" ht="15.75" customHeight="1" x14ac:dyDescent="0.3">
      <c r="A28" s="15" t="s">
        <v>59</v>
      </c>
      <c r="B28" s="14" t="str">
        <f t="shared" si="0"/>
        <v>G4</v>
      </c>
      <c r="C28" s="14" t="s">
        <v>82</v>
      </c>
      <c r="D28" s="22">
        <v>4</v>
      </c>
      <c r="E28" s="23" t="str">
        <f t="shared" si="1"/>
        <v/>
      </c>
      <c r="F28" s="24"/>
      <c r="G28" s="22"/>
      <c r="H28" s="22"/>
      <c r="I28" s="22"/>
    </row>
    <row r="29" spans="1:9" ht="15.75" customHeight="1" x14ac:dyDescent="0.3">
      <c r="A29" s="15" t="s">
        <v>60</v>
      </c>
      <c r="B29" s="14" t="str">
        <f t="shared" si="0"/>
        <v>G3</v>
      </c>
      <c r="C29" s="14" t="s">
        <v>82</v>
      </c>
      <c r="D29" s="22">
        <v>3</v>
      </c>
      <c r="E29" s="23" t="str">
        <f t="shared" si="1"/>
        <v/>
      </c>
      <c r="F29" s="22"/>
      <c r="G29" s="22"/>
      <c r="H29" s="22"/>
      <c r="I29" s="22"/>
    </row>
    <row r="30" spans="1:9" ht="15.75" customHeight="1" x14ac:dyDescent="0.3">
      <c r="A30" s="15" t="s">
        <v>63</v>
      </c>
      <c r="B30" s="14" t="str">
        <f t="shared" si="0"/>
        <v>H2</v>
      </c>
      <c r="C30" s="14" t="s">
        <v>83</v>
      </c>
      <c r="D30" s="22">
        <v>2</v>
      </c>
      <c r="E30" s="23">
        <f t="shared" si="1"/>
        <v>1</v>
      </c>
      <c r="F30" s="22">
        <v>1</v>
      </c>
      <c r="G30" s="22"/>
      <c r="H30" s="22"/>
      <c r="I30" s="22"/>
    </row>
    <row r="31" spans="1:9" ht="15.75" customHeight="1" x14ac:dyDescent="0.3">
      <c r="A31" s="15" t="s">
        <v>64</v>
      </c>
      <c r="B31" s="14" t="str">
        <f t="shared" si="0"/>
        <v>H1</v>
      </c>
      <c r="C31" s="14" t="s">
        <v>83</v>
      </c>
      <c r="D31" s="22">
        <v>1</v>
      </c>
      <c r="E31" s="23">
        <f t="shared" si="1"/>
        <v>1</v>
      </c>
      <c r="F31" s="22"/>
      <c r="G31" s="22"/>
      <c r="H31" s="22"/>
      <c r="I31" s="22"/>
    </row>
    <row r="32" spans="1:9" ht="15.75" customHeight="1" x14ac:dyDescent="0.3">
      <c r="A32" s="15" t="s">
        <v>61</v>
      </c>
      <c r="B32" s="14" t="str">
        <f t="shared" si="0"/>
        <v>H3</v>
      </c>
      <c r="C32" s="14" t="s">
        <v>83</v>
      </c>
      <c r="D32" s="22">
        <v>3</v>
      </c>
      <c r="E32" s="23" t="str">
        <f t="shared" si="1"/>
        <v/>
      </c>
      <c r="F32" s="22"/>
      <c r="G32" s="22"/>
      <c r="H32" s="22"/>
      <c r="I32" s="22"/>
    </row>
    <row r="33" spans="1:9" ht="15.75" customHeight="1" x14ac:dyDescent="0.3">
      <c r="A33" s="15" t="s">
        <v>62</v>
      </c>
      <c r="B33" s="14" t="str">
        <f t="shared" si="0"/>
        <v>H4</v>
      </c>
      <c r="C33" s="14" t="s">
        <v>83</v>
      </c>
      <c r="D33" s="22">
        <v>4</v>
      </c>
      <c r="E33" s="23" t="str">
        <f t="shared" si="1"/>
        <v/>
      </c>
      <c r="F33" s="22"/>
      <c r="G33" s="22"/>
      <c r="H33" s="22"/>
      <c r="I33" s="22"/>
    </row>
    <row r="34" spans="1:9" ht="15.75" customHeight="1" x14ac:dyDescent="0.2"/>
    <row r="35" spans="1:9" ht="15.75" customHeight="1" x14ac:dyDescent="0.2"/>
    <row r="36" spans="1:9" ht="15.75" customHeight="1" x14ac:dyDescent="0.2"/>
    <row r="37" spans="1:9" ht="15.75" customHeight="1" x14ac:dyDescent="0.2"/>
    <row r="38" spans="1:9" ht="15.75" customHeight="1" x14ac:dyDescent="0.2"/>
    <row r="39" spans="1:9" ht="15.75" customHeight="1" x14ac:dyDescent="0.2"/>
    <row r="40" spans="1:9" ht="15.75" customHeight="1" x14ac:dyDescent="0.2"/>
    <row r="41" spans="1:9" ht="15.75" customHeight="1" x14ac:dyDescent="0.2"/>
    <row r="42" spans="1:9" ht="15.75" customHeight="1" x14ac:dyDescent="0.2"/>
    <row r="43" spans="1:9" ht="15.75" customHeight="1" x14ac:dyDescent="0.2"/>
    <row r="44" spans="1:9" ht="15.75" customHeight="1" x14ac:dyDescent="0.2"/>
    <row r="45" spans="1:9" ht="15.75" customHeight="1" x14ac:dyDescent="0.2"/>
    <row r="46" spans="1:9" ht="15.75" customHeight="1" x14ac:dyDescent="0.2"/>
    <row r="47" spans="1:9" ht="15.75" customHeight="1" x14ac:dyDescent="0.2"/>
    <row r="48" spans="1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autoFilter ref="A1:I33" xr:uid="{00000000-0009-0000-0000-000002000000}"/>
  <dataValidations count="1">
    <dataValidation type="decimal" allowBlank="1" showErrorMessage="1" sqref="B2:B33" xr:uid="{00000000-0002-0000-0200-000000000000}">
      <formula1>1</formula1>
      <formula2>4</formula2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98"/>
  <sheetViews>
    <sheetView workbookViewId="0">
      <selection activeCell="H22" sqref="H22"/>
    </sheetView>
  </sheetViews>
  <sheetFormatPr defaultColWidth="12.5703125" defaultRowHeight="15" customHeight="1" x14ac:dyDescent="0.2"/>
  <cols>
    <col min="1" max="1" width="54.85546875" customWidth="1"/>
    <col min="2" max="2" width="29.140625" customWidth="1"/>
    <col min="3" max="26" width="10.5703125" customWidth="1"/>
  </cols>
  <sheetData>
    <row r="1" spans="1:2" ht="135.75" customHeight="1" x14ac:dyDescent="0.2">
      <c r="A1" s="25" t="s">
        <v>84</v>
      </c>
      <c r="B1" s="26" t="s">
        <v>97</v>
      </c>
    </row>
    <row r="2" spans="1:2" ht="12.75" customHeight="1" x14ac:dyDescent="0.2"/>
    <row r="3" spans="1:2" ht="12.75" customHeight="1" x14ac:dyDescent="0.2"/>
    <row r="4" spans="1:2" ht="12.75" customHeight="1" x14ac:dyDescent="0.2"/>
    <row r="5" spans="1:2" ht="12.75" customHeight="1" x14ac:dyDescent="0.2"/>
    <row r="6" spans="1:2" ht="12.75" customHeight="1" x14ac:dyDescent="0.2"/>
    <row r="7" spans="1:2" ht="12.75" customHeight="1" x14ac:dyDescent="0.2"/>
    <row r="8" spans="1:2" ht="12.75" customHeight="1" x14ac:dyDescent="0.2"/>
    <row r="9" spans="1:2" ht="12.75" customHeight="1" x14ac:dyDescent="0.2"/>
    <row r="10" spans="1:2" ht="12.75" customHeight="1" x14ac:dyDescent="0.2"/>
    <row r="11" spans="1:2" ht="12.75" customHeight="1" x14ac:dyDescent="0.2"/>
    <row r="12" spans="1:2" ht="12.75" customHeight="1" x14ac:dyDescent="0.2"/>
    <row r="13" spans="1:2" ht="12.75" customHeight="1" x14ac:dyDescent="0.2"/>
    <row r="14" spans="1:2" ht="12.75" customHeight="1" x14ac:dyDescent="0.2"/>
    <row r="15" spans="1:2" ht="12.75" customHeight="1" x14ac:dyDescent="0.2"/>
    <row r="16" spans="1:2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</sheetData>
  <pageMargins left="0.7" right="0.7" top="0.75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tabSelected="1" workbookViewId="0">
      <selection activeCell="E11" sqref="E11"/>
    </sheetView>
  </sheetViews>
  <sheetFormatPr defaultColWidth="12.5703125" defaultRowHeight="15" customHeight="1" x14ac:dyDescent="0.2"/>
  <cols>
    <col min="1" max="1" width="15.140625" customWidth="1"/>
    <col min="2" max="5" width="12.5703125" customWidth="1"/>
    <col min="6" max="6" width="10.5703125" customWidth="1"/>
    <col min="7" max="7" width="15.140625" customWidth="1"/>
    <col min="8" max="8" width="25.42578125" customWidth="1"/>
    <col min="9" max="9" width="3.42578125" customWidth="1"/>
    <col min="10" max="24" width="10.5703125" customWidth="1"/>
  </cols>
  <sheetData>
    <row r="1" spans="1:9" ht="12.75" customHeight="1" x14ac:dyDescent="0.2">
      <c r="A1" s="27" t="s">
        <v>85</v>
      </c>
      <c r="B1" s="27">
        <v>1</v>
      </c>
      <c r="C1" s="28">
        <v>2</v>
      </c>
      <c r="D1" s="28">
        <v>3</v>
      </c>
      <c r="E1" s="28">
        <v>4</v>
      </c>
      <c r="G1" s="29" t="s">
        <v>86</v>
      </c>
      <c r="H1" s="30" t="str">
        <f>IF(SUM('Elimination Rounds'!E2:E33)=16,"OK","DID NOT SELECT CORRECT NUMBER")</f>
        <v>OK</v>
      </c>
      <c r="I1" s="29" t="s">
        <v>87</v>
      </c>
    </row>
    <row r="2" spans="1:9" ht="12.75" customHeight="1" x14ac:dyDescent="0.2">
      <c r="A2" s="27" t="s">
        <v>76</v>
      </c>
      <c r="B2" s="30" t="str">
        <f ca="1">IF(ISNA(OFFSET('Elimination Rounds'!$A$1,MATCH($A2&amp;B$1,'Elimination Rounds'!$B$2:$B$33,0),0)),"Choice not made!",OFFSET('Elimination Rounds'!$A$1,MATCH($A2&amp;B$1,'Elimination Rounds'!$B$2:$B$33,0),0))</f>
        <v>Netherlands</v>
      </c>
      <c r="C2" s="30" t="str">
        <f ca="1">IF(ISNA(OFFSET('Elimination Rounds'!$A$1,MATCH($A2&amp;C$1,'Elimination Rounds'!$B$2:$B$33,0),0)),"Choice not made!",OFFSET('Elimination Rounds'!$A$1,MATCH($A2&amp;C$1,'Elimination Rounds'!$B$2:$B$33,0),0))</f>
        <v>Qatar</v>
      </c>
      <c r="D2" s="30" t="str">
        <f ca="1">IF(ISNA(OFFSET('Elimination Rounds'!$A$1,MATCH($A2&amp;D$1,'Elimination Rounds'!$B$2:$B$33,0),0)),"Choice not made!",OFFSET('Elimination Rounds'!$A$1,MATCH($A2&amp;D$1,'Elimination Rounds'!$B$2:$B$33,0),0))</f>
        <v>Ecuador</v>
      </c>
      <c r="E2" s="30" t="str">
        <f ca="1">IF(ISNA(OFFSET('Elimination Rounds'!$A$1,MATCH($A2&amp;E$1,'Elimination Rounds'!$B$2:$B$33,0),0)),"Choice not made!",OFFSET('Elimination Rounds'!$A$1,MATCH($A2&amp;E$1,'Elimination Rounds'!$B$2:$B$33,0),0))</f>
        <v>Senegal</v>
      </c>
      <c r="G2" s="29" t="s">
        <v>88</v>
      </c>
      <c r="H2" s="30" t="str">
        <f>IF(SUM('Elimination Rounds'!F2:F33)=8,"OK","DID NOT SELECT CORRECT NUMBER")</f>
        <v>OK</v>
      </c>
      <c r="I2" s="29" t="s">
        <v>89</v>
      </c>
    </row>
    <row r="3" spans="1:9" ht="12.75" customHeight="1" x14ac:dyDescent="0.2">
      <c r="A3" s="27" t="s">
        <v>77</v>
      </c>
      <c r="B3" s="30" t="str">
        <f ca="1">IF(ISNA(OFFSET('Elimination Rounds'!$A$1,MATCH($A3&amp;B$1,'Elimination Rounds'!$B$2:$B$33,0),0)),"Choice not made!",OFFSET('Elimination Rounds'!$A$1,MATCH($A3&amp;B$1,'Elimination Rounds'!$B$2:$B$33,0),0))</f>
        <v>England</v>
      </c>
      <c r="C3" s="30" t="str">
        <f ca="1">IF(ISNA(OFFSET('Elimination Rounds'!$A$1,MATCH($A3&amp;C$1,'Elimination Rounds'!$B$2:$B$33,0),0)),"Choice not made!",OFFSET('Elimination Rounds'!$A$1,MATCH($A3&amp;C$1,'Elimination Rounds'!$B$2:$B$33,0),0))</f>
        <v>USA</v>
      </c>
      <c r="D3" s="30" t="str">
        <f ca="1">IF(ISNA(OFFSET('Elimination Rounds'!$A$1,MATCH($A3&amp;D$1,'Elimination Rounds'!$B$2:$B$33,0),0)),"Choice not made!",OFFSET('Elimination Rounds'!$A$1,MATCH($A3&amp;D$1,'Elimination Rounds'!$B$2:$B$33,0),0))</f>
        <v>Wales</v>
      </c>
      <c r="E3" s="30" t="str">
        <f ca="1">IF(ISNA(OFFSET('Elimination Rounds'!$A$1,MATCH($A3&amp;E$1,'Elimination Rounds'!$B$2:$B$33,0),0)),"Choice not made!",OFFSET('Elimination Rounds'!$A$1,MATCH($A3&amp;E$1,'Elimination Rounds'!$B$2:$B$33,0),0))</f>
        <v>Iran</v>
      </c>
      <c r="G3" s="29" t="s">
        <v>90</v>
      </c>
      <c r="H3" s="30" t="str">
        <f>IF(SUM('Elimination Rounds'!G2:G33)=4,"OK","DID NOT SELECT CORRECT NUMBER")</f>
        <v>OK</v>
      </c>
      <c r="I3" s="29" t="s">
        <v>91</v>
      </c>
    </row>
    <row r="4" spans="1:9" ht="12.75" customHeight="1" x14ac:dyDescent="0.2">
      <c r="A4" s="27" t="s">
        <v>78</v>
      </c>
      <c r="B4" s="30" t="str">
        <f ca="1">IF(ISNA(OFFSET('Elimination Rounds'!$A$1,MATCH($A4&amp;B$1,'Elimination Rounds'!$B$2:$B$33,0),0)),"Choice not made!",OFFSET('Elimination Rounds'!$A$1,MATCH($A4&amp;B$1,'Elimination Rounds'!$B$2:$B$33,0),0))</f>
        <v>Argentina</v>
      </c>
      <c r="C4" s="30" t="str">
        <f ca="1">IF(ISNA(OFFSET('Elimination Rounds'!$A$1,MATCH($A4&amp;C$1,'Elimination Rounds'!$B$2:$B$33,0),0)),"Choice not made!",OFFSET('Elimination Rounds'!$A$1,MATCH($A4&amp;C$1,'Elimination Rounds'!$B$2:$B$33,0),0))</f>
        <v>Poland</v>
      </c>
      <c r="D4" s="30" t="str">
        <f ca="1">IF(ISNA(OFFSET('Elimination Rounds'!$A$1,MATCH($A4&amp;D$1,'Elimination Rounds'!$B$2:$B$33,0),0)),"Choice not made!",OFFSET('Elimination Rounds'!$A$1,MATCH($A4&amp;D$1,'Elimination Rounds'!$B$2:$B$33,0),0))</f>
        <v>Mexico</v>
      </c>
      <c r="E4" s="30" t="str">
        <f ca="1">IF(ISNA(OFFSET('Elimination Rounds'!$A$1,MATCH($A4&amp;E$1,'Elimination Rounds'!$B$2:$B$33,0),0)),"Choice not made!",OFFSET('Elimination Rounds'!$A$1,MATCH($A4&amp;E$1,'Elimination Rounds'!$B$2:$B$33,0),0))</f>
        <v>Saudi Arabia</v>
      </c>
      <c r="G4" s="29" t="s">
        <v>92</v>
      </c>
      <c r="H4" s="30" t="str">
        <f>IF(SUM('Elimination Rounds'!H2:H33)=2,"OK","DID NOT SELECT CORRECT NUMBER")</f>
        <v>OK</v>
      </c>
      <c r="I4" s="29" t="s">
        <v>93</v>
      </c>
    </row>
    <row r="5" spans="1:9" ht="12.75" customHeight="1" x14ac:dyDescent="0.2">
      <c r="A5" s="27" t="s">
        <v>79</v>
      </c>
      <c r="B5" s="30" t="str">
        <f ca="1">IF(ISNA(OFFSET('Elimination Rounds'!$A$1,MATCH($A5&amp;B$1,'Elimination Rounds'!$B$2:$B$33,0),0)),"Choice not made!",OFFSET('Elimination Rounds'!$A$1,MATCH($A5&amp;B$1,'Elimination Rounds'!$B$2:$B$33,0),0))</f>
        <v>Australia</v>
      </c>
      <c r="C5" s="30" t="str">
        <f ca="1">IF(ISNA(OFFSET('Elimination Rounds'!$A$1,MATCH($A5&amp;C$1,'Elimination Rounds'!$B$2:$B$33,0),0)),"Choice not made!",OFFSET('Elimination Rounds'!$A$1,MATCH($A5&amp;C$1,'Elimination Rounds'!$B$2:$B$33,0),0))</f>
        <v>France</v>
      </c>
      <c r="D5" s="30" t="str">
        <f ca="1">IF(ISNA(OFFSET('Elimination Rounds'!$A$1,MATCH($A5&amp;D$1,'Elimination Rounds'!$B$2:$B$33,0),0)),"Choice not made!",OFFSET('Elimination Rounds'!$A$1,MATCH($A5&amp;D$1,'Elimination Rounds'!$B$2:$B$33,0),0))</f>
        <v>Denmark</v>
      </c>
      <c r="E5" s="30" t="str">
        <f ca="1">IF(ISNA(OFFSET('Elimination Rounds'!$A$1,MATCH($A5&amp;E$1,'Elimination Rounds'!$B$2:$B$33,0),0)),"Choice not made!",OFFSET('Elimination Rounds'!$A$1,MATCH($A5&amp;E$1,'Elimination Rounds'!$B$2:$B$33,0),0))</f>
        <v>Tunisia</v>
      </c>
      <c r="G5" s="29" t="s">
        <v>94</v>
      </c>
      <c r="H5" s="30" t="str">
        <f>IF(SUM('Elimination Rounds'!I2:I33)=1,"OK","DID NOT SELECT CORRECT NUMBER")</f>
        <v>OK</v>
      </c>
      <c r="I5" s="29" t="s">
        <v>95</v>
      </c>
    </row>
    <row r="6" spans="1:9" ht="12.75" customHeight="1" x14ac:dyDescent="0.2">
      <c r="A6" s="27" t="s">
        <v>80</v>
      </c>
      <c r="B6" s="30" t="str">
        <f ca="1">IF(ISNA(OFFSET('Elimination Rounds'!$A$1,MATCH($A6&amp;B$1,'Elimination Rounds'!$B$2:$B$33,0),0)),"Choice not made!",OFFSET('Elimination Rounds'!$A$1,MATCH($A6&amp;B$1,'Elimination Rounds'!$B$2:$B$33,0),0))</f>
        <v>Spain</v>
      </c>
      <c r="C6" s="30" t="str">
        <f ca="1">IF(ISNA(OFFSET('Elimination Rounds'!$A$1,MATCH($A6&amp;C$1,'Elimination Rounds'!$B$2:$B$33,0),0)),"Choice not made!",OFFSET('Elimination Rounds'!$A$1,MATCH($A6&amp;C$1,'Elimination Rounds'!$B$2:$B$33,0),0))</f>
        <v>Germany</v>
      </c>
      <c r="D6" s="30" t="str">
        <f ca="1">IF(ISNA(OFFSET('Elimination Rounds'!$A$1,MATCH($A6&amp;D$1,'Elimination Rounds'!$B$2:$B$33,0),0)),"Choice not made!",OFFSET('Elimination Rounds'!$A$1,MATCH($A6&amp;D$1,'Elimination Rounds'!$B$2:$B$33,0),0))</f>
        <v>Costa Rica</v>
      </c>
      <c r="E6" s="30" t="str">
        <f ca="1">IF(ISNA(OFFSET('Elimination Rounds'!$A$1,MATCH($A6&amp;E$1,'Elimination Rounds'!$B$2:$B$33,0),0)),"Choice not made!",OFFSET('Elimination Rounds'!$A$1,MATCH($A6&amp;E$1,'Elimination Rounds'!$B$2:$B$33,0),0))</f>
        <v>Japan</v>
      </c>
    </row>
    <row r="7" spans="1:9" ht="12.75" customHeight="1" x14ac:dyDescent="0.2">
      <c r="A7" s="27" t="s">
        <v>81</v>
      </c>
      <c r="B7" s="30" t="str">
        <f ca="1">IF(ISNA(OFFSET('Elimination Rounds'!$A$1,MATCH($A7&amp;B$1,'Elimination Rounds'!$B$2:$B$33,0),0)),"Choice not made!",OFFSET('Elimination Rounds'!$A$1,MATCH($A7&amp;B$1,'Elimination Rounds'!$B$2:$B$33,0),0))</f>
        <v>Belgium</v>
      </c>
      <c r="C7" s="30" t="str">
        <f ca="1">IF(ISNA(OFFSET('Elimination Rounds'!$A$1,MATCH($A7&amp;C$1,'Elimination Rounds'!$B$2:$B$33,0),0)),"Choice not made!",OFFSET('Elimination Rounds'!$A$1,MATCH($A7&amp;C$1,'Elimination Rounds'!$B$2:$B$33,0),0))</f>
        <v>Canada</v>
      </c>
      <c r="D7" s="30" t="str">
        <f ca="1">IF(ISNA(OFFSET('Elimination Rounds'!$A$1,MATCH($A7&amp;D$1,'Elimination Rounds'!$B$2:$B$33,0),0)),"Choice not made!",OFFSET('Elimination Rounds'!$A$1,MATCH($A7&amp;D$1,'Elimination Rounds'!$B$2:$B$33,0),0))</f>
        <v>Morocco</v>
      </c>
      <c r="E7" s="30" t="str">
        <f ca="1">IF(ISNA(OFFSET('Elimination Rounds'!$A$1,MATCH($A7&amp;E$1,'Elimination Rounds'!$B$2:$B$33,0),0)),"Choice not made!",OFFSET('Elimination Rounds'!$A$1,MATCH($A7&amp;E$1,'Elimination Rounds'!$B$2:$B$33,0),0))</f>
        <v>Croatia</v>
      </c>
    </row>
    <row r="8" spans="1:9" ht="12.75" customHeight="1" x14ac:dyDescent="0.2">
      <c r="A8" s="27" t="s">
        <v>82</v>
      </c>
      <c r="B8" s="30" t="str">
        <f ca="1">IF(ISNA(OFFSET('Elimination Rounds'!$A$1,MATCH($A8&amp;B$1,'Elimination Rounds'!$B$2:$B$33,0),0)),"Choice not made!",OFFSET('Elimination Rounds'!$A$1,MATCH($A8&amp;B$1,'Elimination Rounds'!$B$2:$B$33,0),0))</f>
        <v>Brazil</v>
      </c>
      <c r="C8" s="30" t="str">
        <f ca="1">IF(ISNA(OFFSET('Elimination Rounds'!$A$1,MATCH($A8&amp;C$1,'Elimination Rounds'!$B$2:$B$33,0),0)),"Choice not made!",OFFSET('Elimination Rounds'!$A$1,MATCH($A8&amp;C$1,'Elimination Rounds'!$B$2:$B$33,0),0))</f>
        <v>Serbia</v>
      </c>
      <c r="D8" s="30" t="str">
        <f ca="1">IF(ISNA(OFFSET('Elimination Rounds'!$A$1,MATCH($A8&amp;D$1,'Elimination Rounds'!$B$2:$B$33,0),0)),"Choice not made!",OFFSET('Elimination Rounds'!$A$1,MATCH($A8&amp;D$1,'Elimination Rounds'!$B$2:$B$33,0),0))</f>
        <v>Cameroon</v>
      </c>
      <c r="E8" s="30" t="str">
        <f ca="1">IF(ISNA(OFFSET('Elimination Rounds'!$A$1,MATCH($A8&amp;E$1,'Elimination Rounds'!$B$2:$B$33,0),0)),"Choice not made!",OFFSET('Elimination Rounds'!$A$1,MATCH($A8&amp;E$1,'Elimination Rounds'!$B$2:$B$33,0),0))</f>
        <v>Switzerland</v>
      </c>
    </row>
    <row r="9" spans="1:9" ht="12.75" customHeight="1" x14ac:dyDescent="0.2">
      <c r="A9" s="27" t="s">
        <v>83</v>
      </c>
      <c r="B9" s="30" t="str">
        <f ca="1">IF(ISNA(OFFSET('Elimination Rounds'!$A$1,MATCH($A9&amp;B$1,'Elimination Rounds'!$B$2:$B$33,0),0)),"Choice not made!",OFFSET('Elimination Rounds'!$A$1,MATCH($A9&amp;B$1,'Elimination Rounds'!$B$2:$B$33,0),0))</f>
        <v>Ghana</v>
      </c>
      <c r="C9" s="30" t="str">
        <f ca="1">IF(ISNA(OFFSET('Elimination Rounds'!$A$1,MATCH($A9&amp;C$1,'Elimination Rounds'!$B$2:$B$33,0),0)),"Choice not made!",OFFSET('Elimination Rounds'!$A$1,MATCH($A9&amp;C$1,'Elimination Rounds'!$B$2:$B$33,0),0))</f>
        <v>Portugal</v>
      </c>
      <c r="D9" s="30" t="str">
        <f ca="1">IF(ISNA(OFFSET('Elimination Rounds'!$A$1,MATCH($A9&amp;D$1,'Elimination Rounds'!$B$2:$B$33,0),0)),"Choice not made!",OFFSET('Elimination Rounds'!$A$1,MATCH($A9&amp;D$1,'Elimination Rounds'!$B$2:$B$33,0),0))</f>
        <v>Uruguay</v>
      </c>
      <c r="E9" s="30" t="str">
        <f ca="1">IF(ISNA(OFFSET('Elimination Rounds'!$A$1,MATCH($A9&amp;E$1,'Elimination Rounds'!$B$2:$B$33,0),0)),"Choice not made!",OFFSET('Elimination Rounds'!$A$1,MATCH($A9&amp;E$1,'Elimination Rounds'!$B$2:$B$33,0),0))</f>
        <v>South Korea</v>
      </c>
    </row>
    <row r="10" spans="1:9" ht="12.75" customHeight="1" x14ac:dyDescent="0.2">
      <c r="A10" s="31"/>
      <c r="B10" s="31"/>
      <c r="C10" s="31"/>
      <c r="D10" s="31"/>
      <c r="E10" s="31"/>
    </row>
    <row r="11" spans="1:9" ht="12.75" customHeight="1" x14ac:dyDescent="0.2">
      <c r="C11" s="31"/>
      <c r="D11" s="31"/>
      <c r="E11" s="31"/>
    </row>
    <row r="12" spans="1:9" ht="12.75" customHeight="1" x14ac:dyDescent="0.2">
      <c r="A12" s="34" t="s">
        <v>96</v>
      </c>
      <c r="B12" s="37">
        <f ca="1">COUNTIF(B2:E9,"Choice not made!")+COUNTIF(H1:H5,"DID NOT SELECT CORRECT NUMBER")</f>
        <v>0</v>
      </c>
      <c r="C12" s="31"/>
      <c r="D12" s="31"/>
      <c r="E12" s="31"/>
    </row>
    <row r="13" spans="1:9" ht="12.75" customHeight="1" x14ac:dyDescent="0.2">
      <c r="A13" s="35"/>
      <c r="B13" s="35"/>
      <c r="C13" s="31"/>
      <c r="D13" s="31"/>
      <c r="E13" s="31"/>
    </row>
    <row r="14" spans="1:9" ht="12.75" customHeight="1" x14ac:dyDescent="0.2">
      <c r="A14" s="36"/>
      <c r="B14" s="36"/>
      <c r="C14" s="31"/>
      <c r="D14" s="31"/>
      <c r="E14" s="31"/>
    </row>
    <row r="15" spans="1:9" ht="12.75" customHeight="1" x14ac:dyDescent="0.2">
      <c r="C15" s="31"/>
      <c r="D15" s="31"/>
      <c r="E15" s="31"/>
    </row>
    <row r="16" spans="1:9" ht="12.75" customHeight="1" x14ac:dyDescent="0.2"/>
    <row r="17" spans="1:6" ht="12.75" customHeight="1" x14ac:dyDescent="0.2">
      <c r="A17" s="38" t="str">
        <f ca="1">IF(B12=0,"GOOD TO GO!","NOT READY TO SUBMIT (SEE ERRORS ABOVE)")</f>
        <v>GOOD TO GO!</v>
      </c>
      <c r="B17" s="39"/>
      <c r="C17" s="39"/>
      <c r="D17" s="39"/>
      <c r="E17" s="39"/>
      <c r="F17" s="39"/>
    </row>
    <row r="18" spans="1:6" ht="12.75" customHeight="1" x14ac:dyDescent="0.2">
      <c r="A18" s="39"/>
      <c r="B18" s="39"/>
      <c r="C18" s="39"/>
      <c r="D18" s="39"/>
      <c r="E18" s="39"/>
      <c r="F18" s="39"/>
    </row>
    <row r="19" spans="1:6" ht="12.75" customHeight="1" x14ac:dyDescent="0.2">
      <c r="A19" s="39"/>
      <c r="B19" s="39"/>
      <c r="C19" s="39"/>
      <c r="D19" s="39"/>
      <c r="E19" s="39"/>
      <c r="F19" s="39"/>
    </row>
    <row r="20" spans="1:6" ht="12.75" customHeight="1" x14ac:dyDescent="0.2">
      <c r="A20" s="39"/>
      <c r="B20" s="39"/>
      <c r="C20" s="39"/>
      <c r="D20" s="39"/>
      <c r="E20" s="39"/>
      <c r="F20" s="39"/>
    </row>
    <row r="21" spans="1:6" ht="12.75" customHeight="1" x14ac:dyDescent="0.2">
      <c r="A21" s="39"/>
      <c r="B21" s="39"/>
      <c r="C21" s="39"/>
      <c r="D21" s="39"/>
      <c r="E21" s="39"/>
      <c r="F21" s="39"/>
    </row>
    <row r="22" spans="1:6" ht="12.75" customHeight="1" x14ac:dyDescent="0.2">
      <c r="A22" s="39"/>
      <c r="B22" s="39"/>
      <c r="C22" s="39"/>
      <c r="D22" s="39"/>
      <c r="E22" s="39"/>
      <c r="F22" s="39"/>
    </row>
    <row r="23" spans="1:6" ht="12.75" customHeight="1" x14ac:dyDescent="0.2"/>
    <row r="24" spans="1:6" ht="12.75" customHeight="1" x14ac:dyDescent="0.2"/>
    <row r="25" spans="1:6" ht="12.75" customHeight="1" x14ac:dyDescent="0.2"/>
    <row r="26" spans="1:6" ht="12.75" customHeight="1" x14ac:dyDescent="0.2"/>
    <row r="27" spans="1:6" ht="12.75" customHeight="1" x14ac:dyDescent="0.2"/>
    <row r="28" spans="1:6" ht="12.75" customHeight="1" x14ac:dyDescent="0.2"/>
    <row r="29" spans="1:6" ht="12.75" customHeight="1" x14ac:dyDescent="0.2"/>
    <row r="30" spans="1:6" ht="12.75" customHeight="1" x14ac:dyDescent="0.2"/>
    <row r="31" spans="1:6" ht="12.75" customHeight="1" x14ac:dyDescent="0.2"/>
    <row r="32" spans="1:6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3">
    <mergeCell ref="A12:A14"/>
    <mergeCell ref="B12:B14"/>
    <mergeCell ref="A17:F22"/>
  </mergeCells>
  <conditionalFormatting sqref="B2:E9">
    <cfRule type="expression" dxfId="2" priority="1">
      <formula>"""Choice not made!"""</formula>
    </cfRule>
  </conditionalFormatting>
  <conditionalFormatting sqref="A17:F22">
    <cfRule type="containsText" dxfId="1" priority="2" operator="containsText" text="GOOD TO GO!">
      <formula>NOT(ISERROR(SEARCH(("GOOD TO GO!"),(A17))))</formula>
    </cfRule>
  </conditionalFormatting>
  <conditionalFormatting sqref="A17:F22">
    <cfRule type="containsText" dxfId="0" priority="3" operator="containsText" text="NOT READY">
      <formula>NOT(ISERROR(SEARCH(("NOT READY"),(A17))))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Scoring Rules</vt:lpstr>
      <vt:lpstr>Group Stage</vt:lpstr>
      <vt:lpstr>Elimination Rounds</vt:lpstr>
      <vt:lpstr>Golden BOOT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2022-11-21T04:52:18Z</dcterms:modified>
</cp:coreProperties>
</file>