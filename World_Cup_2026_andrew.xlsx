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Fixed Income\Sales\Andrew_Max\unstructured\"/>
    </mc:Choice>
  </mc:AlternateContent>
  <xr:revisionPtr revIDLastSave="0" documentId="13_ncr:1_{058F8F0C-38D7-4C71-957D-027CB75A9426}" xr6:coauthVersionLast="47" xr6:coauthVersionMax="47" xr10:uidLastSave="{00000000-0000-0000-0000-000000000000}"/>
  <bookViews>
    <workbookView xWindow="1510" yWindow="2530" windowWidth="15410" windowHeight="15370" tabRatio="500" firstSheet="1" activeTab="3" xr2:uid="{00000000-000D-0000-FFFF-FFFF00000000}"/>
  </bookViews>
  <sheets>
    <sheet name="Scoring Rules" sheetId="1" r:id="rId1"/>
    <sheet name="Group Stage" sheetId="2" r:id="rId2"/>
    <sheet name="Elimination Rounds" sheetId="3" r:id="rId3"/>
    <sheet name="Check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5" l="1"/>
  <c r="J3" i="2" a="1"/>
  <c r="J3" i="2" s="1"/>
  <c r="J2" i="2" a="1"/>
  <c r="J2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J4" i="2" s="1"/>
  <c r="G67" i="2"/>
  <c r="G68" i="2"/>
  <c r="G69" i="2"/>
  <c r="G70" i="2"/>
  <c r="G71" i="2"/>
  <c r="G72" i="2"/>
  <c r="G73" i="2"/>
  <c r="G2" i="2"/>
  <c r="C11" i="1"/>
  <c r="H6" i="5"/>
  <c r="H5" i="5"/>
  <c r="H4" i="5"/>
  <c r="H3" i="5"/>
  <c r="H2" i="5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C11" i="5" l="1"/>
  <c r="E4" i="5"/>
  <c r="D2" i="5"/>
  <c r="B12" i="5"/>
  <c r="B8" i="5"/>
  <c r="B2" i="5"/>
  <c r="C5" i="5"/>
  <c r="D8" i="5"/>
  <c r="C12" i="5"/>
  <c r="C2" i="5"/>
  <c r="D5" i="5"/>
  <c r="E8" i="5"/>
  <c r="D12" i="5"/>
  <c r="C8" i="5"/>
  <c r="E12" i="5"/>
  <c r="B9" i="5"/>
  <c r="B13" i="5"/>
  <c r="D11" i="5"/>
  <c r="B6" i="5"/>
  <c r="C9" i="5"/>
  <c r="C13" i="5"/>
  <c r="E2" i="5"/>
  <c r="B3" i="5"/>
  <c r="C6" i="5"/>
  <c r="D9" i="5"/>
  <c r="D13" i="5"/>
  <c r="C3" i="5"/>
  <c r="D6" i="5"/>
  <c r="E9" i="5"/>
  <c r="E13" i="5"/>
  <c r="E11" i="5"/>
  <c r="D3" i="5"/>
  <c r="E6" i="5"/>
  <c r="B10" i="5"/>
  <c r="C10" i="5"/>
  <c r="B5" i="5"/>
  <c r="B7" i="5"/>
  <c r="D10" i="5"/>
  <c r="E3" i="5"/>
  <c r="B4" i="5"/>
  <c r="C7" i="5"/>
  <c r="E10" i="5"/>
  <c r="E5" i="5"/>
  <c r="C4" i="5"/>
  <c r="D7" i="5"/>
  <c r="B11" i="5"/>
  <c r="D4" i="5"/>
  <c r="E7" i="5"/>
  <c r="B16" i="5" l="1"/>
  <c r="A18" i="5" s="1"/>
  <c r="J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<sst xmlns="http://schemas.openxmlformats.org/spreadsheetml/2006/main" count="386" uniqueCount="114">
  <si>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</si>
  <si>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</si>
  <si>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</si>
  <si>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</si>
  <si>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</si>
  <si>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</si>
  <si>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</si>
  <si>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</si>
  <si>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</si>
  <si>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</si>
  <si>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</si>
  <si>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</si>
  <si>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</si>
  <si>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</si>
  <si>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</si>
  <si>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</si>
  <si>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</si>
  <si>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</si>
  <si>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</si>
  <si>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Format note: 2026 expands to 48 teams in 12 groups (A-L). 72 group games, then a Round of 32 (top 2 from each group plus the 8 best 3rd-placed teams), Round of 16, Quarter-finals, Semi-finals and Final.</t>
  </si>
  <si>
    <t>Match</t>
  </si>
  <si>
    <t>Group</t>
  </si>
  <si>
    <t>Home</t>
  </si>
  <si>
    <t>Away</t>
  </si>
  <si>
    <t>Home Goals</t>
  </si>
  <si>
    <t>Away Goals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</si>
  <si>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</si>
  <si>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</si>
  <si>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</si>
  <si>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</si>
  <si>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</si>
  <si>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</si>
  <si>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</si>
  <si>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</si>
  <si>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</si>
  <si>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</si>
  <si>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</si>
  <si>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</si>
  <si>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</si>
  <si>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</si>
  <si>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</si>
  <si>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</si>
  <si>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</si>
  <si>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</si>
  <si>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</si>
  <si>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</si>
  <si>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</si>
  <si>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</si>
  <si>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</si>
  <si>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</si>
  <si>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</si>
  <si>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</si>
  <si>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</si>
  <si>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</si>
  <si>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</si>
  <si>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</si>
  <si>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</si>
  <si>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</si>
  <si>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</si>
  <si>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</si>
  <si>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</si>
  <si>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</si>
  <si>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</si>
  <si>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</si>
  <si>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</si>
  <si>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</si>
  <si>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</si>
  <si>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</si>
  <si>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</si>
  <si>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</si>
  <si>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</si>
  <si>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</si>
  <si>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</si>
  <si>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</si>
  <si>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</si>
  <si>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</si>
  <si>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</si>
  <si>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</si>
  <si>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</si>
  <si>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</si>
  <si>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</si>
  <si>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</si>
  <si>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</si>
  <si>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</si>
  <si>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</si>
  <si>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</si>
  <si>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</si>
  <si>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</si>
  <si>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</si>
  <si>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</si>
  <si>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</si>
  <si>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</si>
  <si>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</si>
  <si>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</si>
  <si>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</si>
  <si>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</si>
  <si>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</si>
  <si>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</si>
  <si>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</si>
  <si>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</si>
  <si>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:8</t>
  </si>
  <si>
    <t>ROUND OF 16</t>
  </si>
  <si>
    <t>:16</t>
  </si>
  <si>
    <t>QUARTER-FINALS</t>
  </si>
  <si>
    <t>SEMI-FINALS</t>
  </si>
  <si>
    <t>:4</t>
  </si>
  <si>
    <t>FINAL</t>
  </si>
  <si>
    <t>:2</t>
  </si>
  <si>
    <t>WINNER</t>
  </si>
  <si>
    <t>:1</t>
  </si>
  <si>
    <t>TOTAL ERRORS</t>
  </si>
  <si>
    <t>Result</t>
  </si>
  <si>
    <t>GROUP STAGE GAMES CHECK</t>
  </si>
  <si>
    <t>GAMES PICKED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</si>
</sst>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i/>
      <sz val="9"/>
      <name val="Arial"/>
      <charset val="1"/>
    </font>
    <font>
      <i/>
      <sz val="8"/>
      <name val="Arial"/>
      <charset val="1"/>
    </font>
    <font>
      <b/>
      <sz val="12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D9E1F2"/>
        <bgColor rgb="FFC6EFCE"/>
      </patternFill>
    </fill>
    <fill>
      <patternFill patternType="solid">
        <fgColor rgb="FF8EAADB"/>
        <bgColor rgb="FF96969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7">
    <dxf>
      <fill>
        <patternFill>
          <bgColor theme="6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9C0006"/>
        <name val="Arial"/>
        <charset val="1"/>
      </font>
      <fill>
        <patternFill>
          <bgColor rgb="FFFFC7CE"/>
        </patternFill>
      </fill>
    </dxf>
    <dxf>
      <font>
        <b/>
        <sz val="28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8EAADB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zoomScaleNormal="100" workbookViewId="0">
      <selection activeCell="B6" sqref="B6:C6"/>
    </sheetView>
  </sheetViews>
  <sheetFormatPr defaultColWidth="8.6328125" defaultRowHeight="14.5" x14ac:dyDescent="0.35"/>
  <cols>
    <col min="1" max="1" width="58" customWidth="1"/>
    <col min="2" max="2" width="10" customWidth="1"/>
    <col min="3" max="3" width="1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3">
        <v>72</v>
      </c>
    </row>
    <row r="3" spans="1:3" x14ac:dyDescent="0.35">
      <c r="A3" s="2" t="s">
        <v>5</v>
      </c>
      <c r="B3" s="3" t="s">
        <v>6</v>
      </c>
      <c r="C3" s="3">
        <v>144</v>
      </c>
    </row>
    <row r="4" spans="1:3" x14ac:dyDescent="0.35">
      <c r="A4" s="2" t="s">
        <v>7</v>
      </c>
      <c r="B4" s="3" t="s">
        <v>6</v>
      </c>
      <c r="C4" s="3">
        <v>24</v>
      </c>
    </row>
    <row r="5" spans="1:3" x14ac:dyDescent="0.35">
      <c r="A5" s="2" t="s">
        <v>8</v>
      </c>
      <c r="B5" s="3" t="s">
        <v>4</v>
      </c>
      <c r="C5" s="3">
        <v>36</v>
      </c>
    </row>
    <row r="6" spans="1:3" x14ac:dyDescent="0.35">
      <c r="A6" s="2" t="s">
        <v>9</v>
      </c>
      <c r="B6" s="3" t="s">
        <v>6</v>
      </c>
      <c r="C6" s="3">
        <v>32</v>
      </c>
    </row>
    <row r="7" spans="1:3" x14ac:dyDescent="0.35">
      <c r="A7" s="2" t="s">
        <v>10</v>
      </c>
      <c r="B7" s="3" t="s">
        <v>11</v>
      </c>
      <c r="C7" s="3">
        <v>32</v>
      </c>
    </row>
    <row r="8" spans="1:3" x14ac:dyDescent="0.35">
      <c r="A8" s="2" t="s">
        <v>12</v>
      </c>
      <c r="B8" s="3" t="s">
        <v>13</v>
      </c>
      <c r="C8" s="3">
        <v>32</v>
      </c>
    </row>
    <row r="9" spans="1:3" x14ac:dyDescent="0.35">
      <c r="A9" s="2" t="s">
        <v>14</v>
      </c>
      <c r="B9" s="3" t="s">
        <v>15</v>
      </c>
      <c r="C9" s="3">
        <v>32</v>
      </c>
    </row>
    <row r="10" spans="1:3" x14ac:dyDescent="0.35">
      <c r="A10" s="2" t="s">
        <v>16</v>
      </c>
      <c r="B10" s="3" t="s">
        <v>17</v>
      </c>
      <c r="C10" s="3">
        <v>32</v>
      </c>
    </row>
    <row r="11" spans="1:3" x14ac:dyDescent="0.35">
      <c r="A11" s="4" t="s">
        <v>18</v>
      </c>
      <c r="B11" s="5"/>
      <c r="C11" s="6">
        <f>SUM(C2:C10)</f>
        <v>436</v>
      </c>
    </row>
    <row r="13" spans="1:3" x14ac:dyDescent="0.35">
      <c r="A13" s="7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zoomScaleNormal="100" workbookViewId="0">
      <pane ySplit="1" topLeftCell="A56" activePane="bottomLeft" state="frozen"/>
      <selection pane="bottomLeft" activeCell="D69" sqref="D69"/>
    </sheetView>
  </sheetViews>
  <sheetFormatPr defaultColWidth="8.6328125" defaultRowHeight="14.5" x14ac:dyDescent="0.35"/>
  <cols>
    <col min="1" max="2" width="8" customWidth="1"/>
    <col min="3" max="4" width="18" customWidth="1"/>
    <col min="5" max="6" width="12" customWidth="1"/>
    <col min="7" max="7" width="15" customWidth="1"/>
    <col min="8" max="8" width="3" customWidth="1"/>
    <col min="9" max="9" width="11" customWidth="1"/>
    <col min="10" max="10" width="8" customWidth="1"/>
  </cols>
  <sheetData>
    <row r="1" spans="1:10" x14ac:dyDescent="0.3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6" t="s">
        <v>111</v>
      </c>
      <c r="I1" s="8" t="s">
        <v>26</v>
      </c>
      <c r="J1" s="9"/>
    </row>
    <row r="2" spans="1:10" x14ac:dyDescent="0.35">
      <c r="A2" s="3">
        <v>1</v>
      </c>
      <c r="B2" s="3" t="s">
        <v>27</v>
      </c>
      <c r="C2" s="2" t="s">
        <v>28</v>
      </c>
      <c r="D2" s="2" t="s">
        <v>29</v>
      </c>
      <c r="E2" s="10">
        <v>2</v>
      </c>
      <c r="F2" s="10">
        <v>1</v>
      </c>
      <c r="G2" s="3" t="str">
        <f>IF(AND(E2&lt;&gt;"",F2&lt;&gt;""),IF(E2&gt;F2,C2,IF(E2&lt;F2,D2,"Draw")),"")</f>
        <v>Mexico</v>
      </c>
      <c r="I2" s="2" t="s">
        <v>22</v>
      </c>
      <c r="J2" s="3" cm="1">
        <f t="array" ref="J2">SUMPRODUCT((G2:G73=C2:C73)*1)</f>
        <v>59</v>
      </c>
    </row>
    <row r="3" spans="1:10" x14ac:dyDescent="0.35">
      <c r="A3" s="3">
        <v>2</v>
      </c>
      <c r="B3" s="3" t="s">
        <v>27</v>
      </c>
      <c r="C3" s="2" t="s">
        <v>30</v>
      </c>
      <c r="D3" s="2" t="s">
        <v>31</v>
      </c>
      <c r="E3" s="10">
        <v>2</v>
      </c>
      <c r="F3" s="10">
        <v>1</v>
      </c>
      <c r="G3" s="3" t="str">
        <f t="shared" ref="G3:G66" si="0">IF(AND(E3&lt;&gt;"",F3&lt;&gt;""),IF(E3&gt;F3,C3,IF(E3&lt;F3,D3,"Draw")),"")</f>
        <v>South Africa</v>
      </c>
      <c r="I3" s="2" t="s">
        <v>23</v>
      </c>
      <c r="J3" s="3" cm="1">
        <f t="array" ref="J3">SUMPRODUCT((G2:G73=D2:D73)*1)</f>
        <v>13</v>
      </c>
    </row>
    <row r="4" spans="1:10" x14ac:dyDescent="0.35">
      <c r="A4" s="3">
        <v>3</v>
      </c>
      <c r="B4" s="3" t="s">
        <v>27</v>
      </c>
      <c r="C4" s="2" t="s">
        <v>28</v>
      </c>
      <c r="D4" s="2" t="s">
        <v>30</v>
      </c>
      <c r="E4" s="10">
        <v>2</v>
      </c>
      <c r="F4" s="10">
        <v>0</v>
      </c>
      <c r="G4" s="3" t="str">
        <f t="shared" si="0"/>
        <v>Mexico</v>
      </c>
      <c r="I4" s="2" t="s">
        <v>32</v>
      </c>
      <c r="J4" s="3">
        <f>COUNTIF(G2:G73,"Draw")</f>
        <v>0</v>
      </c>
    </row>
    <row r="5" spans="1:10" x14ac:dyDescent="0.35">
      <c r="A5" s="3">
        <v>4</v>
      </c>
      <c r="B5" s="3" t="s">
        <v>27</v>
      </c>
      <c r="C5" s="2" t="s">
        <v>29</v>
      </c>
      <c r="D5" s="2" t="s">
        <v>31</v>
      </c>
      <c r="E5" s="10">
        <v>2</v>
      </c>
      <c r="F5" s="10">
        <v>1</v>
      </c>
      <c r="G5" s="3" t="str">
        <f t="shared" si="0"/>
        <v>South Korea</v>
      </c>
      <c r="I5" s="4" t="s">
        <v>18</v>
      </c>
      <c r="J5" s="6">
        <f>SUM(J2:J4)</f>
        <v>72</v>
      </c>
    </row>
    <row r="6" spans="1:10" x14ac:dyDescent="0.35">
      <c r="A6" s="3">
        <v>5</v>
      </c>
      <c r="B6" s="3" t="s">
        <v>27</v>
      </c>
      <c r="C6" s="2" t="s">
        <v>28</v>
      </c>
      <c r="D6" s="2" t="s">
        <v>31</v>
      </c>
      <c r="E6" s="10">
        <v>2</v>
      </c>
      <c r="F6" s="10">
        <v>1</v>
      </c>
      <c r="G6" s="3" t="str">
        <f t="shared" si="0"/>
        <v>Mexico</v>
      </c>
      <c r="I6" s="11" t="s">
        <v>33</v>
      </c>
    </row>
    <row r="7" spans="1:10" x14ac:dyDescent="0.35">
      <c r="A7" s="3">
        <v>6</v>
      </c>
      <c r="B7" s="3" t="s">
        <v>27</v>
      </c>
      <c r="C7" s="2" t="s">
        <v>29</v>
      </c>
      <c r="D7" s="2" t="s">
        <v>30</v>
      </c>
      <c r="E7" s="10">
        <v>2</v>
      </c>
      <c r="F7" s="10">
        <v>0</v>
      </c>
      <c r="G7" s="3" t="str">
        <f t="shared" si="0"/>
        <v>South Korea</v>
      </c>
    </row>
    <row r="8" spans="1:10" x14ac:dyDescent="0.35">
      <c r="A8" s="3">
        <v>7</v>
      </c>
      <c r="B8" s="3" t="s">
        <v>34</v>
      </c>
      <c r="C8" s="2" t="s">
        <v>35</v>
      </c>
      <c r="D8" s="2" t="s">
        <v>36</v>
      </c>
      <c r="E8" s="10">
        <v>1</v>
      </c>
      <c r="F8" s="10">
        <v>2</v>
      </c>
      <c r="G8" s="3" t="str">
        <f t="shared" si="0"/>
        <v>Switzerland</v>
      </c>
    </row>
    <row r="9" spans="1:10" x14ac:dyDescent="0.35">
      <c r="A9" s="3">
        <v>8</v>
      </c>
      <c r="B9" s="3" t="s">
        <v>34</v>
      </c>
      <c r="C9" s="2" t="s">
        <v>37</v>
      </c>
      <c r="D9" s="2" t="s">
        <v>38</v>
      </c>
      <c r="E9" s="10">
        <v>2</v>
      </c>
      <c r="F9" s="10">
        <v>0</v>
      </c>
      <c r="G9" s="3" t="str">
        <f t="shared" si="0"/>
        <v>Qatar</v>
      </c>
    </row>
    <row r="10" spans="1:10" x14ac:dyDescent="0.35">
      <c r="A10" s="3">
        <v>9</v>
      </c>
      <c r="B10" s="3" t="s">
        <v>34</v>
      </c>
      <c r="C10" s="2" t="s">
        <v>35</v>
      </c>
      <c r="D10" s="2" t="s">
        <v>37</v>
      </c>
      <c r="E10" s="10">
        <v>2</v>
      </c>
      <c r="F10" s="10">
        <v>0</v>
      </c>
      <c r="G10" s="3" t="str">
        <f t="shared" si="0"/>
        <v>Canada</v>
      </c>
    </row>
    <row r="11" spans="1:10" x14ac:dyDescent="0.35">
      <c r="A11" s="3">
        <v>10</v>
      </c>
      <c r="B11" s="3" t="s">
        <v>34</v>
      </c>
      <c r="C11" s="2" t="s">
        <v>36</v>
      </c>
      <c r="D11" s="2" t="s">
        <v>38</v>
      </c>
      <c r="E11" s="10">
        <v>2</v>
      </c>
      <c r="F11" s="10">
        <v>0</v>
      </c>
      <c r="G11" s="3" t="str">
        <f t="shared" si="0"/>
        <v>Switzerland</v>
      </c>
    </row>
    <row r="12" spans="1:10" x14ac:dyDescent="0.35">
      <c r="A12" s="3">
        <v>11</v>
      </c>
      <c r="B12" s="3" t="s">
        <v>34</v>
      </c>
      <c r="C12" s="2" t="s">
        <v>35</v>
      </c>
      <c r="D12" s="2" t="s">
        <v>38</v>
      </c>
      <c r="E12" s="10">
        <v>2</v>
      </c>
      <c r="F12" s="10">
        <v>0</v>
      </c>
      <c r="G12" s="3" t="str">
        <f t="shared" si="0"/>
        <v>Canada</v>
      </c>
    </row>
    <row r="13" spans="1:10" x14ac:dyDescent="0.35">
      <c r="A13" s="3">
        <v>12</v>
      </c>
      <c r="B13" s="3" t="s">
        <v>34</v>
      </c>
      <c r="C13" s="2" t="s">
        <v>36</v>
      </c>
      <c r="D13" s="2" t="s">
        <v>37</v>
      </c>
      <c r="E13" s="10">
        <v>2</v>
      </c>
      <c r="F13" s="10">
        <v>0</v>
      </c>
      <c r="G13" s="3" t="str">
        <f t="shared" si="0"/>
        <v>Switzerland</v>
      </c>
    </row>
    <row r="14" spans="1:10" x14ac:dyDescent="0.35">
      <c r="A14" s="3">
        <v>13</v>
      </c>
      <c r="B14" s="3" t="s">
        <v>39</v>
      </c>
      <c r="C14" s="2" t="s">
        <v>40</v>
      </c>
      <c r="D14" s="2" t="s">
        <v>41</v>
      </c>
      <c r="E14" s="10">
        <v>2</v>
      </c>
      <c r="F14" s="10">
        <v>1</v>
      </c>
      <c r="G14" s="3" t="str">
        <f t="shared" si="0"/>
        <v>Brazil</v>
      </c>
    </row>
    <row r="15" spans="1:10" x14ac:dyDescent="0.35">
      <c r="A15" s="3">
        <v>14</v>
      </c>
      <c r="B15" s="3" t="s">
        <v>39</v>
      </c>
      <c r="C15" s="2" t="s">
        <v>42</v>
      </c>
      <c r="D15" s="2" t="s">
        <v>43</v>
      </c>
      <c r="E15" s="10">
        <v>2</v>
      </c>
      <c r="F15" s="10">
        <v>0</v>
      </c>
      <c r="G15" s="3" t="str">
        <f t="shared" si="0"/>
        <v>Scotland</v>
      </c>
    </row>
    <row r="16" spans="1:10" x14ac:dyDescent="0.35">
      <c r="A16" s="3">
        <v>15</v>
      </c>
      <c r="B16" s="3" t="s">
        <v>39</v>
      </c>
      <c r="C16" s="2" t="s">
        <v>40</v>
      </c>
      <c r="D16" s="2" t="s">
        <v>42</v>
      </c>
      <c r="E16" s="10">
        <v>2</v>
      </c>
      <c r="F16" s="10">
        <v>0</v>
      </c>
      <c r="G16" s="3" t="str">
        <f t="shared" si="0"/>
        <v>Brazil</v>
      </c>
    </row>
    <row r="17" spans="1:7" x14ac:dyDescent="0.35">
      <c r="A17" s="3">
        <v>16</v>
      </c>
      <c r="B17" s="3" t="s">
        <v>39</v>
      </c>
      <c r="C17" s="2" t="s">
        <v>41</v>
      </c>
      <c r="D17" s="2" t="s">
        <v>43</v>
      </c>
      <c r="E17" s="10">
        <v>3</v>
      </c>
      <c r="F17" s="10">
        <v>0</v>
      </c>
      <c r="G17" s="3" t="str">
        <f t="shared" si="0"/>
        <v>Morocco</v>
      </c>
    </row>
    <row r="18" spans="1:7" x14ac:dyDescent="0.35">
      <c r="A18" s="3">
        <v>17</v>
      </c>
      <c r="B18" s="3" t="s">
        <v>39</v>
      </c>
      <c r="C18" s="2" t="s">
        <v>40</v>
      </c>
      <c r="D18" s="2" t="s">
        <v>43</v>
      </c>
      <c r="E18" s="10">
        <v>3</v>
      </c>
      <c r="F18" s="10">
        <v>0</v>
      </c>
      <c r="G18" s="3" t="str">
        <f t="shared" si="0"/>
        <v>Brazil</v>
      </c>
    </row>
    <row r="19" spans="1:7" x14ac:dyDescent="0.35">
      <c r="A19" s="3">
        <v>18</v>
      </c>
      <c r="B19" s="3" t="s">
        <v>39</v>
      </c>
      <c r="C19" s="2" t="s">
        <v>41</v>
      </c>
      <c r="D19" s="2" t="s">
        <v>42</v>
      </c>
      <c r="E19" s="10">
        <v>2</v>
      </c>
      <c r="F19" s="10">
        <v>0</v>
      </c>
      <c r="G19" s="3" t="str">
        <f t="shared" si="0"/>
        <v>Morocco</v>
      </c>
    </row>
    <row r="20" spans="1:7" x14ac:dyDescent="0.35">
      <c r="A20" s="3">
        <v>19</v>
      </c>
      <c r="B20" s="3" t="s">
        <v>44</v>
      </c>
      <c r="C20" s="2" t="s">
        <v>45</v>
      </c>
      <c r="D20" s="2" t="s">
        <v>46</v>
      </c>
      <c r="E20" s="10">
        <v>2</v>
      </c>
      <c r="F20" s="10">
        <v>0</v>
      </c>
      <c r="G20" s="3" t="str">
        <f t="shared" si="0"/>
        <v>USA</v>
      </c>
    </row>
    <row r="21" spans="1:7" x14ac:dyDescent="0.35">
      <c r="A21" s="3">
        <v>20</v>
      </c>
      <c r="B21" s="3" t="s">
        <v>44</v>
      </c>
      <c r="C21" s="2" t="s">
        <v>47</v>
      </c>
      <c r="D21" s="2" t="s">
        <v>48</v>
      </c>
      <c r="E21" s="10">
        <v>2</v>
      </c>
      <c r="F21" s="10">
        <v>1</v>
      </c>
      <c r="G21" s="3" t="str">
        <f t="shared" si="0"/>
        <v>Australia</v>
      </c>
    </row>
    <row r="22" spans="1:7" x14ac:dyDescent="0.35">
      <c r="A22" s="3">
        <v>21</v>
      </c>
      <c r="B22" s="3" t="s">
        <v>44</v>
      </c>
      <c r="C22" s="2" t="s">
        <v>45</v>
      </c>
      <c r="D22" s="2" t="s">
        <v>47</v>
      </c>
      <c r="E22" s="10">
        <v>2</v>
      </c>
      <c r="F22" s="10">
        <v>1</v>
      </c>
      <c r="G22" s="3" t="str">
        <f t="shared" si="0"/>
        <v>USA</v>
      </c>
    </row>
    <row r="23" spans="1:7" x14ac:dyDescent="0.35">
      <c r="A23" s="3">
        <v>22</v>
      </c>
      <c r="B23" s="3" t="s">
        <v>44</v>
      </c>
      <c r="C23" s="2" t="s">
        <v>46</v>
      </c>
      <c r="D23" s="2" t="s">
        <v>48</v>
      </c>
      <c r="E23" s="10">
        <v>0</v>
      </c>
      <c r="F23" s="10">
        <v>2</v>
      </c>
      <c r="G23" s="3" t="str">
        <f t="shared" si="0"/>
        <v>Turkiye</v>
      </c>
    </row>
    <row r="24" spans="1:7" x14ac:dyDescent="0.35">
      <c r="A24" s="3">
        <v>23</v>
      </c>
      <c r="B24" s="3" t="s">
        <v>44</v>
      </c>
      <c r="C24" s="2" t="s">
        <v>45</v>
      </c>
      <c r="D24" s="2" t="s">
        <v>48</v>
      </c>
      <c r="E24" s="10">
        <v>2</v>
      </c>
      <c r="F24" s="10">
        <v>1</v>
      </c>
      <c r="G24" s="3" t="str">
        <f t="shared" si="0"/>
        <v>USA</v>
      </c>
    </row>
    <row r="25" spans="1:7" x14ac:dyDescent="0.35">
      <c r="A25" s="3">
        <v>24</v>
      </c>
      <c r="B25" s="3" t="s">
        <v>44</v>
      </c>
      <c r="C25" s="2" t="s">
        <v>46</v>
      </c>
      <c r="D25" s="2" t="s">
        <v>47</v>
      </c>
      <c r="E25" s="10">
        <v>0</v>
      </c>
      <c r="F25" s="10">
        <v>2</v>
      </c>
      <c r="G25" s="3" t="str">
        <f t="shared" si="0"/>
        <v>Australia</v>
      </c>
    </row>
    <row r="26" spans="1:7" x14ac:dyDescent="0.35">
      <c r="A26" s="3">
        <v>25</v>
      </c>
      <c r="B26" s="3" t="s">
        <v>49</v>
      </c>
      <c r="C26" s="2" t="s">
        <v>50</v>
      </c>
      <c r="D26" s="2" t="s">
        <v>51</v>
      </c>
      <c r="E26" s="10">
        <v>2</v>
      </c>
      <c r="F26" s="10">
        <v>1</v>
      </c>
      <c r="G26" s="3" t="str">
        <f t="shared" si="0"/>
        <v>Germany</v>
      </c>
    </row>
    <row r="27" spans="1:7" x14ac:dyDescent="0.35">
      <c r="A27" s="3">
        <v>26</v>
      </c>
      <c r="B27" s="3" t="s">
        <v>49</v>
      </c>
      <c r="C27" s="2" t="s">
        <v>52</v>
      </c>
      <c r="D27" s="2" t="s">
        <v>53</v>
      </c>
      <c r="E27" s="10">
        <v>1</v>
      </c>
      <c r="F27" s="10">
        <v>2</v>
      </c>
      <c r="G27" s="3" t="str">
        <f t="shared" si="0"/>
        <v>Curacao</v>
      </c>
    </row>
    <row r="28" spans="1:7" x14ac:dyDescent="0.35">
      <c r="A28" s="3">
        <v>27</v>
      </c>
      <c r="B28" s="3" t="s">
        <v>49</v>
      </c>
      <c r="C28" s="2" t="s">
        <v>50</v>
      </c>
      <c r="D28" s="2" t="s">
        <v>52</v>
      </c>
      <c r="E28" s="10">
        <v>3</v>
      </c>
      <c r="F28" s="10">
        <v>0</v>
      </c>
      <c r="G28" s="3" t="str">
        <f t="shared" si="0"/>
        <v>Germany</v>
      </c>
    </row>
    <row r="29" spans="1:7" x14ac:dyDescent="0.35">
      <c r="A29" s="3">
        <v>28</v>
      </c>
      <c r="B29" s="3" t="s">
        <v>49</v>
      </c>
      <c r="C29" s="2" t="s">
        <v>51</v>
      </c>
      <c r="D29" s="2" t="s">
        <v>53</v>
      </c>
      <c r="E29" s="10">
        <v>2</v>
      </c>
      <c r="F29" s="10">
        <v>0</v>
      </c>
      <c r="G29" s="3" t="str">
        <f t="shared" si="0"/>
        <v>Ecuador</v>
      </c>
    </row>
    <row r="30" spans="1:7" x14ac:dyDescent="0.35">
      <c r="A30" s="3">
        <v>29</v>
      </c>
      <c r="B30" s="3" t="s">
        <v>49</v>
      </c>
      <c r="C30" s="2" t="s">
        <v>50</v>
      </c>
      <c r="D30" s="2" t="s">
        <v>53</v>
      </c>
      <c r="E30" s="10">
        <v>3</v>
      </c>
      <c r="F30" s="10">
        <v>0</v>
      </c>
      <c r="G30" s="3" t="str">
        <f t="shared" si="0"/>
        <v>Germany</v>
      </c>
    </row>
    <row r="31" spans="1:7" x14ac:dyDescent="0.35">
      <c r="A31" s="3">
        <v>30</v>
      </c>
      <c r="B31" s="3" t="s">
        <v>49</v>
      </c>
      <c r="C31" s="2" t="s">
        <v>51</v>
      </c>
      <c r="D31" s="2" t="s">
        <v>52</v>
      </c>
      <c r="E31" s="10">
        <v>0</v>
      </c>
      <c r="F31" s="10">
        <v>2</v>
      </c>
      <c r="G31" s="3" t="str">
        <f t="shared" si="0"/>
        <v>Ivory Coast</v>
      </c>
    </row>
    <row r="32" spans="1:7" x14ac:dyDescent="0.35">
      <c r="A32" s="3">
        <v>31</v>
      </c>
      <c r="B32" s="3" t="s">
        <v>54</v>
      </c>
      <c r="C32" s="2" t="s">
        <v>55</v>
      </c>
      <c r="D32" s="2" t="s">
        <v>56</v>
      </c>
      <c r="E32" s="10">
        <v>2</v>
      </c>
      <c r="F32" s="10">
        <v>1</v>
      </c>
      <c r="G32" s="3" t="str">
        <f t="shared" si="0"/>
        <v>Netherlands</v>
      </c>
    </row>
    <row r="33" spans="1:7" x14ac:dyDescent="0.35">
      <c r="A33" s="3">
        <v>32</v>
      </c>
      <c r="B33" s="3" t="s">
        <v>54</v>
      </c>
      <c r="C33" s="2" t="s">
        <v>57</v>
      </c>
      <c r="D33" s="2" t="s">
        <v>58</v>
      </c>
      <c r="E33" s="10">
        <v>2</v>
      </c>
      <c r="F33" s="10">
        <v>0</v>
      </c>
      <c r="G33" s="3" t="str">
        <f t="shared" si="0"/>
        <v>Tunisia</v>
      </c>
    </row>
    <row r="34" spans="1:7" x14ac:dyDescent="0.35">
      <c r="A34" s="3">
        <v>33</v>
      </c>
      <c r="B34" s="3" t="s">
        <v>54</v>
      </c>
      <c r="C34" s="2" t="s">
        <v>55</v>
      </c>
      <c r="D34" s="2" t="s">
        <v>57</v>
      </c>
      <c r="E34" s="10">
        <v>2</v>
      </c>
      <c r="F34" s="10">
        <v>0</v>
      </c>
      <c r="G34" s="3" t="str">
        <f t="shared" si="0"/>
        <v>Netherlands</v>
      </c>
    </row>
    <row r="35" spans="1:7" x14ac:dyDescent="0.35">
      <c r="A35" s="3">
        <v>34</v>
      </c>
      <c r="B35" s="3" t="s">
        <v>54</v>
      </c>
      <c r="C35" s="2" t="s">
        <v>56</v>
      </c>
      <c r="D35" s="2" t="s">
        <v>58</v>
      </c>
      <c r="E35" s="10">
        <v>3</v>
      </c>
      <c r="F35" s="10">
        <v>0</v>
      </c>
      <c r="G35" s="3" t="str">
        <f t="shared" si="0"/>
        <v>Japan</v>
      </c>
    </row>
    <row r="36" spans="1:7" x14ac:dyDescent="0.35">
      <c r="A36" s="3">
        <v>35</v>
      </c>
      <c r="B36" s="3" t="s">
        <v>54</v>
      </c>
      <c r="C36" s="2" t="s">
        <v>55</v>
      </c>
      <c r="D36" s="2" t="s">
        <v>58</v>
      </c>
      <c r="E36" s="10">
        <v>3</v>
      </c>
      <c r="F36" s="10">
        <v>0</v>
      </c>
      <c r="G36" s="3" t="str">
        <f t="shared" si="0"/>
        <v>Netherlands</v>
      </c>
    </row>
    <row r="37" spans="1:7" x14ac:dyDescent="0.35">
      <c r="A37" s="3">
        <v>36</v>
      </c>
      <c r="B37" s="3" t="s">
        <v>54</v>
      </c>
      <c r="C37" s="2" t="s">
        <v>56</v>
      </c>
      <c r="D37" s="2" t="s">
        <v>57</v>
      </c>
      <c r="E37" s="10">
        <v>2</v>
      </c>
      <c r="F37" s="10">
        <v>1</v>
      </c>
      <c r="G37" s="3" t="str">
        <f t="shared" si="0"/>
        <v>Japan</v>
      </c>
    </row>
    <row r="38" spans="1:7" x14ac:dyDescent="0.35">
      <c r="A38" s="3">
        <v>37</v>
      </c>
      <c r="B38" s="3" t="s">
        <v>59</v>
      </c>
      <c r="C38" s="2" t="s">
        <v>60</v>
      </c>
      <c r="D38" s="2" t="s">
        <v>61</v>
      </c>
      <c r="E38" s="10">
        <v>3</v>
      </c>
      <c r="F38" s="10">
        <v>0</v>
      </c>
      <c r="G38" s="3" t="str">
        <f t="shared" si="0"/>
        <v>Belgium</v>
      </c>
    </row>
    <row r="39" spans="1:7" x14ac:dyDescent="0.35">
      <c r="A39" s="3">
        <v>38</v>
      </c>
      <c r="B39" s="3" t="s">
        <v>59</v>
      </c>
      <c r="C39" s="2" t="s">
        <v>62</v>
      </c>
      <c r="D39" s="2" t="s">
        <v>63</v>
      </c>
      <c r="E39" s="10">
        <v>1</v>
      </c>
      <c r="F39" s="10">
        <v>2</v>
      </c>
      <c r="G39" s="3" t="str">
        <f t="shared" si="0"/>
        <v>New Zealand</v>
      </c>
    </row>
    <row r="40" spans="1:7" x14ac:dyDescent="0.35">
      <c r="A40" s="3">
        <v>39</v>
      </c>
      <c r="B40" s="3" t="s">
        <v>59</v>
      </c>
      <c r="C40" s="2" t="s">
        <v>60</v>
      </c>
      <c r="D40" s="2" t="s">
        <v>62</v>
      </c>
      <c r="E40" s="10">
        <v>3</v>
      </c>
      <c r="F40" s="10">
        <v>0</v>
      </c>
      <c r="G40" s="3" t="str">
        <f t="shared" si="0"/>
        <v>Belgium</v>
      </c>
    </row>
    <row r="41" spans="1:7" x14ac:dyDescent="0.35">
      <c r="A41" s="3">
        <v>40</v>
      </c>
      <c r="B41" s="3" t="s">
        <v>59</v>
      </c>
      <c r="C41" s="2" t="s">
        <v>61</v>
      </c>
      <c r="D41" s="2" t="s">
        <v>63</v>
      </c>
      <c r="E41" s="10">
        <v>1</v>
      </c>
      <c r="F41" s="10">
        <v>2</v>
      </c>
      <c r="G41" s="3" t="str">
        <f t="shared" si="0"/>
        <v>New Zealand</v>
      </c>
    </row>
    <row r="42" spans="1:7" x14ac:dyDescent="0.35">
      <c r="A42" s="3">
        <v>41</v>
      </c>
      <c r="B42" s="3" t="s">
        <v>59</v>
      </c>
      <c r="C42" s="2" t="s">
        <v>60</v>
      </c>
      <c r="D42" s="2" t="s">
        <v>63</v>
      </c>
      <c r="E42" s="10">
        <v>2</v>
      </c>
      <c r="F42" s="10">
        <v>0</v>
      </c>
      <c r="G42" s="3" t="str">
        <f t="shared" si="0"/>
        <v>Belgium</v>
      </c>
    </row>
    <row r="43" spans="1:7" x14ac:dyDescent="0.35">
      <c r="A43" s="3">
        <v>42</v>
      </c>
      <c r="B43" s="3" t="s">
        <v>59</v>
      </c>
      <c r="C43" s="2" t="s">
        <v>61</v>
      </c>
      <c r="D43" s="2" t="s">
        <v>62</v>
      </c>
      <c r="E43" s="10">
        <v>1</v>
      </c>
      <c r="F43" s="10">
        <v>2</v>
      </c>
      <c r="G43" s="3" t="str">
        <f t="shared" si="0"/>
        <v>Egypt</v>
      </c>
    </row>
    <row r="44" spans="1:7" x14ac:dyDescent="0.35">
      <c r="A44" s="3">
        <v>43</v>
      </c>
      <c r="B44" s="3" t="s">
        <v>64</v>
      </c>
      <c r="C44" s="2" t="s">
        <v>65</v>
      </c>
      <c r="D44" s="2" t="s">
        <v>66</v>
      </c>
      <c r="E44" s="10">
        <v>2</v>
      </c>
      <c r="F44" s="10">
        <v>1</v>
      </c>
      <c r="G44" s="3" t="str">
        <f t="shared" si="0"/>
        <v>Spain</v>
      </c>
    </row>
    <row r="45" spans="1:7" x14ac:dyDescent="0.35">
      <c r="A45" s="3">
        <v>44</v>
      </c>
      <c r="B45" s="3" t="s">
        <v>64</v>
      </c>
      <c r="C45" s="2" t="s">
        <v>67</v>
      </c>
      <c r="D45" s="2" t="s">
        <v>68</v>
      </c>
      <c r="E45" s="10">
        <v>2</v>
      </c>
      <c r="F45" s="10">
        <v>0</v>
      </c>
      <c r="G45" s="3" t="str">
        <f t="shared" si="0"/>
        <v>Saudi Arabia</v>
      </c>
    </row>
    <row r="46" spans="1:7" x14ac:dyDescent="0.35">
      <c r="A46" s="3">
        <v>45</v>
      </c>
      <c r="B46" s="3" t="s">
        <v>64</v>
      </c>
      <c r="C46" s="2" t="s">
        <v>65</v>
      </c>
      <c r="D46" s="2" t="s">
        <v>67</v>
      </c>
      <c r="E46" s="10">
        <v>3</v>
      </c>
      <c r="F46" s="10">
        <v>0</v>
      </c>
      <c r="G46" s="3" t="str">
        <f t="shared" si="0"/>
        <v>Spain</v>
      </c>
    </row>
    <row r="47" spans="1:7" x14ac:dyDescent="0.35">
      <c r="A47" s="3">
        <v>46</v>
      </c>
      <c r="B47" s="3" t="s">
        <v>64</v>
      </c>
      <c r="C47" s="2" t="s">
        <v>66</v>
      </c>
      <c r="D47" s="2" t="s">
        <v>68</v>
      </c>
      <c r="E47" s="10">
        <v>3</v>
      </c>
      <c r="F47" s="10">
        <v>0</v>
      </c>
      <c r="G47" s="3" t="str">
        <f t="shared" si="0"/>
        <v>Uruguay</v>
      </c>
    </row>
    <row r="48" spans="1:7" x14ac:dyDescent="0.35">
      <c r="A48" s="3">
        <v>47</v>
      </c>
      <c r="B48" s="3" t="s">
        <v>64</v>
      </c>
      <c r="C48" s="2" t="s">
        <v>65</v>
      </c>
      <c r="D48" s="2" t="s">
        <v>68</v>
      </c>
      <c r="E48" s="10">
        <v>3</v>
      </c>
      <c r="F48" s="10">
        <v>0</v>
      </c>
      <c r="G48" s="3" t="str">
        <f t="shared" si="0"/>
        <v>Spain</v>
      </c>
    </row>
    <row r="49" spans="1:7" x14ac:dyDescent="0.35">
      <c r="A49" s="3">
        <v>48</v>
      </c>
      <c r="B49" s="3" t="s">
        <v>64</v>
      </c>
      <c r="C49" s="2" t="s">
        <v>66</v>
      </c>
      <c r="D49" s="2" t="s">
        <v>67</v>
      </c>
      <c r="E49" s="10">
        <v>2</v>
      </c>
      <c r="F49" s="10">
        <v>0</v>
      </c>
      <c r="G49" s="3" t="str">
        <f t="shared" si="0"/>
        <v>Uruguay</v>
      </c>
    </row>
    <row r="50" spans="1:7" x14ac:dyDescent="0.35">
      <c r="A50" s="3">
        <v>49</v>
      </c>
      <c r="B50" s="3" t="s">
        <v>69</v>
      </c>
      <c r="C50" s="2" t="s">
        <v>70</v>
      </c>
      <c r="D50" s="2" t="s">
        <v>71</v>
      </c>
      <c r="E50" s="10">
        <v>2</v>
      </c>
      <c r="F50" s="10">
        <v>1</v>
      </c>
      <c r="G50" s="3" t="str">
        <f t="shared" si="0"/>
        <v>France</v>
      </c>
    </row>
    <row r="51" spans="1:7" x14ac:dyDescent="0.35">
      <c r="A51" s="3">
        <v>50</v>
      </c>
      <c r="B51" s="3" t="s">
        <v>69</v>
      </c>
      <c r="C51" s="2" t="s">
        <v>72</v>
      </c>
      <c r="D51" s="2" t="s">
        <v>73</v>
      </c>
      <c r="E51" s="10">
        <v>2</v>
      </c>
      <c r="F51" s="10">
        <v>0</v>
      </c>
      <c r="G51" s="3" t="str">
        <f t="shared" si="0"/>
        <v>Norway</v>
      </c>
    </row>
    <row r="52" spans="1:7" x14ac:dyDescent="0.35">
      <c r="A52" s="3">
        <v>51</v>
      </c>
      <c r="B52" s="3" t="s">
        <v>69</v>
      </c>
      <c r="C52" s="2" t="s">
        <v>70</v>
      </c>
      <c r="D52" s="2" t="s">
        <v>72</v>
      </c>
      <c r="E52" s="10">
        <v>2</v>
      </c>
      <c r="F52" s="10">
        <v>0</v>
      </c>
      <c r="G52" s="3" t="str">
        <f t="shared" si="0"/>
        <v>France</v>
      </c>
    </row>
    <row r="53" spans="1:7" x14ac:dyDescent="0.35">
      <c r="A53" s="3">
        <v>52</v>
      </c>
      <c r="B53" s="3" t="s">
        <v>69</v>
      </c>
      <c r="C53" s="2" t="s">
        <v>71</v>
      </c>
      <c r="D53" s="2" t="s">
        <v>73</v>
      </c>
      <c r="E53" s="10">
        <v>3</v>
      </c>
      <c r="F53" s="10">
        <v>0</v>
      </c>
      <c r="G53" s="3" t="str">
        <f t="shared" si="0"/>
        <v>Senegal</v>
      </c>
    </row>
    <row r="54" spans="1:7" x14ac:dyDescent="0.35">
      <c r="A54" s="3">
        <v>53</v>
      </c>
      <c r="B54" s="3" t="s">
        <v>69</v>
      </c>
      <c r="C54" s="2" t="s">
        <v>70</v>
      </c>
      <c r="D54" s="2" t="s">
        <v>73</v>
      </c>
      <c r="E54" s="10">
        <v>3</v>
      </c>
      <c r="F54" s="10">
        <v>0</v>
      </c>
      <c r="G54" s="3" t="str">
        <f t="shared" si="0"/>
        <v>France</v>
      </c>
    </row>
    <row r="55" spans="1:7" x14ac:dyDescent="0.35">
      <c r="A55" s="3">
        <v>54</v>
      </c>
      <c r="B55" s="3" t="s">
        <v>69</v>
      </c>
      <c r="C55" s="2" t="s">
        <v>71</v>
      </c>
      <c r="D55" s="2" t="s">
        <v>72</v>
      </c>
      <c r="E55" s="10">
        <v>2</v>
      </c>
      <c r="F55" s="10">
        <v>1</v>
      </c>
      <c r="G55" s="3" t="str">
        <f t="shared" si="0"/>
        <v>Senegal</v>
      </c>
    </row>
    <row r="56" spans="1:7" x14ac:dyDescent="0.35">
      <c r="A56" s="3">
        <v>55</v>
      </c>
      <c r="B56" s="3" t="s">
        <v>74</v>
      </c>
      <c r="C56" s="2" t="s">
        <v>75</v>
      </c>
      <c r="D56" s="2" t="s">
        <v>76</v>
      </c>
      <c r="E56" s="10">
        <v>2</v>
      </c>
      <c r="F56" s="10">
        <v>0</v>
      </c>
      <c r="G56" s="3" t="str">
        <f t="shared" si="0"/>
        <v>Argentina</v>
      </c>
    </row>
    <row r="57" spans="1:7" x14ac:dyDescent="0.35">
      <c r="A57" s="3">
        <v>56</v>
      </c>
      <c r="B57" s="3" t="s">
        <v>74</v>
      </c>
      <c r="C57" s="2" t="s">
        <v>77</v>
      </c>
      <c r="D57" s="2" t="s">
        <v>78</v>
      </c>
      <c r="E57" s="10">
        <v>2</v>
      </c>
      <c r="F57" s="10">
        <v>1</v>
      </c>
      <c r="G57" s="3" t="str">
        <f t="shared" si="0"/>
        <v>Algeria</v>
      </c>
    </row>
    <row r="58" spans="1:7" x14ac:dyDescent="0.35">
      <c r="A58" s="3">
        <v>57</v>
      </c>
      <c r="B58" s="3" t="s">
        <v>74</v>
      </c>
      <c r="C58" s="2" t="s">
        <v>75</v>
      </c>
      <c r="D58" s="2" t="s">
        <v>77</v>
      </c>
      <c r="E58" s="10">
        <v>3</v>
      </c>
      <c r="F58" s="10">
        <v>0</v>
      </c>
      <c r="G58" s="3" t="str">
        <f t="shared" si="0"/>
        <v>Argentina</v>
      </c>
    </row>
    <row r="59" spans="1:7" x14ac:dyDescent="0.35">
      <c r="A59" s="3">
        <v>58</v>
      </c>
      <c r="B59" s="3" t="s">
        <v>74</v>
      </c>
      <c r="C59" s="2" t="s">
        <v>76</v>
      </c>
      <c r="D59" s="2" t="s">
        <v>78</v>
      </c>
      <c r="E59" s="10">
        <v>2</v>
      </c>
      <c r="F59" s="10">
        <v>0</v>
      </c>
      <c r="G59" s="3" t="str">
        <f t="shared" si="0"/>
        <v>Austria</v>
      </c>
    </row>
    <row r="60" spans="1:7" x14ac:dyDescent="0.35">
      <c r="A60" s="3">
        <v>59</v>
      </c>
      <c r="B60" s="3" t="s">
        <v>74</v>
      </c>
      <c r="C60" s="2" t="s">
        <v>75</v>
      </c>
      <c r="D60" s="2" t="s">
        <v>78</v>
      </c>
      <c r="E60" s="10">
        <v>2</v>
      </c>
      <c r="F60" s="10">
        <v>0</v>
      </c>
      <c r="G60" s="3" t="str">
        <f t="shared" si="0"/>
        <v>Argentina</v>
      </c>
    </row>
    <row r="61" spans="1:7" x14ac:dyDescent="0.35">
      <c r="A61" s="3">
        <v>60</v>
      </c>
      <c r="B61" s="3" t="s">
        <v>74</v>
      </c>
      <c r="C61" s="2" t="s">
        <v>76</v>
      </c>
      <c r="D61" s="2" t="s">
        <v>77</v>
      </c>
      <c r="E61" s="10">
        <v>0</v>
      </c>
      <c r="F61" s="10">
        <v>2</v>
      </c>
      <c r="G61" s="3" t="str">
        <f t="shared" si="0"/>
        <v>Algeria</v>
      </c>
    </row>
    <row r="62" spans="1:7" x14ac:dyDescent="0.35">
      <c r="A62" s="3">
        <v>61</v>
      </c>
      <c r="B62" s="3" t="s">
        <v>79</v>
      </c>
      <c r="C62" s="2" t="s">
        <v>80</v>
      </c>
      <c r="D62" s="2" t="s">
        <v>81</v>
      </c>
      <c r="E62" s="10">
        <v>1</v>
      </c>
      <c r="F62" s="10">
        <v>2</v>
      </c>
      <c r="G62" s="3" t="str">
        <f t="shared" si="0"/>
        <v>Colombia</v>
      </c>
    </row>
    <row r="63" spans="1:7" x14ac:dyDescent="0.35">
      <c r="A63" s="3">
        <v>62</v>
      </c>
      <c r="B63" s="3" t="s">
        <v>79</v>
      </c>
      <c r="C63" s="2" t="s">
        <v>82</v>
      </c>
      <c r="D63" s="2" t="s">
        <v>83</v>
      </c>
      <c r="E63" s="10">
        <v>1</v>
      </c>
      <c r="F63" s="10">
        <v>2</v>
      </c>
      <c r="G63" s="3" t="str">
        <f t="shared" si="0"/>
        <v>DR Congo</v>
      </c>
    </row>
    <row r="64" spans="1:7" x14ac:dyDescent="0.35">
      <c r="A64" s="3">
        <v>63</v>
      </c>
      <c r="B64" s="3" t="s">
        <v>79</v>
      </c>
      <c r="C64" s="2" t="s">
        <v>80</v>
      </c>
      <c r="D64" s="2" t="s">
        <v>82</v>
      </c>
      <c r="E64" s="10">
        <v>3</v>
      </c>
      <c r="F64" s="10">
        <v>0</v>
      </c>
      <c r="G64" s="3" t="str">
        <f t="shared" si="0"/>
        <v>Portugal</v>
      </c>
    </row>
    <row r="65" spans="1:7" x14ac:dyDescent="0.35">
      <c r="A65" s="3">
        <v>64</v>
      </c>
      <c r="B65" s="3" t="s">
        <v>79</v>
      </c>
      <c r="C65" s="2" t="s">
        <v>81</v>
      </c>
      <c r="D65" s="2" t="s">
        <v>83</v>
      </c>
      <c r="E65" s="10">
        <v>3</v>
      </c>
      <c r="F65" s="10">
        <v>0</v>
      </c>
      <c r="G65" s="3" t="str">
        <f t="shared" si="0"/>
        <v>Colombia</v>
      </c>
    </row>
    <row r="66" spans="1:7" x14ac:dyDescent="0.35">
      <c r="A66" s="3">
        <v>65</v>
      </c>
      <c r="B66" s="3" t="s">
        <v>79</v>
      </c>
      <c r="C66" s="2" t="s">
        <v>80</v>
      </c>
      <c r="D66" s="2" t="s">
        <v>83</v>
      </c>
      <c r="E66" s="10">
        <v>3</v>
      </c>
      <c r="F66" s="10">
        <v>0</v>
      </c>
      <c r="G66" s="3" t="str">
        <f t="shared" si="0"/>
        <v>Portugal</v>
      </c>
    </row>
    <row r="67" spans="1:7" x14ac:dyDescent="0.35">
      <c r="A67" s="3">
        <v>66</v>
      </c>
      <c r="B67" s="3" t="s">
        <v>79</v>
      </c>
      <c r="C67" s="2" t="s">
        <v>81</v>
      </c>
      <c r="D67" s="2" t="s">
        <v>82</v>
      </c>
      <c r="E67" s="10">
        <v>2</v>
      </c>
      <c r="F67" s="10">
        <v>0</v>
      </c>
      <c r="G67" s="3" t="str">
        <f t="shared" ref="G67:G73" si="1">IF(AND(E67&lt;&gt;"",F67&lt;&gt;""),IF(E67&gt;F67,C67,IF(E67&lt;F67,D67,"Draw")),"")</f>
        <v>Colombia</v>
      </c>
    </row>
    <row r="68" spans="1:7" x14ac:dyDescent="0.35">
      <c r="A68" s="3">
        <v>67</v>
      </c>
      <c r="B68" s="3" t="s">
        <v>84</v>
      </c>
      <c r="C68" s="2" t="s">
        <v>85</v>
      </c>
      <c r="D68" s="2" t="s">
        <v>86</v>
      </c>
      <c r="E68" s="10">
        <v>2</v>
      </c>
      <c r="F68" s="10">
        <v>1</v>
      </c>
      <c r="G68" s="3" t="str">
        <f t="shared" si="1"/>
        <v>England</v>
      </c>
    </row>
    <row r="69" spans="1:7" x14ac:dyDescent="0.35">
      <c r="A69" s="3">
        <v>68</v>
      </c>
      <c r="B69" s="3" t="s">
        <v>84</v>
      </c>
      <c r="C69" s="2" t="s">
        <v>87</v>
      </c>
      <c r="D69" s="2" t="s">
        <v>88</v>
      </c>
      <c r="E69" s="10">
        <v>1</v>
      </c>
      <c r="F69" s="10">
        <v>2</v>
      </c>
      <c r="G69" s="3" t="str">
        <f t="shared" si="1"/>
        <v>Ghana</v>
      </c>
    </row>
    <row r="70" spans="1:7" x14ac:dyDescent="0.35">
      <c r="A70" s="3">
        <v>69</v>
      </c>
      <c r="B70" s="3" t="s">
        <v>84</v>
      </c>
      <c r="C70" s="2" t="s">
        <v>85</v>
      </c>
      <c r="D70" s="2" t="s">
        <v>87</v>
      </c>
      <c r="E70" s="10">
        <v>2</v>
      </c>
      <c r="F70" s="10">
        <v>0</v>
      </c>
      <c r="G70" s="3" t="str">
        <f t="shared" si="1"/>
        <v>England</v>
      </c>
    </row>
    <row r="71" spans="1:7" x14ac:dyDescent="0.35">
      <c r="A71" s="3">
        <v>70</v>
      </c>
      <c r="B71" s="3" t="s">
        <v>84</v>
      </c>
      <c r="C71" s="2" t="s">
        <v>86</v>
      </c>
      <c r="D71" s="2" t="s">
        <v>88</v>
      </c>
      <c r="E71" s="10">
        <v>2</v>
      </c>
      <c r="F71" s="10">
        <v>0</v>
      </c>
      <c r="G71" s="3" t="str">
        <f t="shared" si="1"/>
        <v>Croatia</v>
      </c>
    </row>
    <row r="72" spans="1:7" x14ac:dyDescent="0.35">
      <c r="A72" s="3">
        <v>71</v>
      </c>
      <c r="B72" s="3" t="s">
        <v>84</v>
      </c>
      <c r="C72" s="2" t="s">
        <v>85</v>
      </c>
      <c r="D72" s="2" t="s">
        <v>88</v>
      </c>
      <c r="E72" s="10">
        <v>3</v>
      </c>
      <c r="F72" s="10">
        <v>0</v>
      </c>
      <c r="G72" s="3" t="str">
        <f t="shared" si="1"/>
        <v>England</v>
      </c>
    </row>
    <row r="73" spans="1:7" x14ac:dyDescent="0.35">
      <c r="A73" s="3">
        <v>72</v>
      </c>
      <c r="B73" s="3" t="s">
        <v>84</v>
      </c>
      <c r="C73" s="2" t="s">
        <v>86</v>
      </c>
      <c r="D73" s="2" t="s">
        <v>87</v>
      </c>
      <c r="E73" s="10">
        <v>0</v>
      </c>
      <c r="F73" s="10">
        <v>2</v>
      </c>
      <c r="G73" s="3" t="str">
        <f t="shared" si="1"/>
        <v>Panama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zoomScaleNormal="100" workbookViewId="0">
      <pane ySplit="1" topLeftCell="A20" activePane="bottomLeft" state="frozen"/>
      <selection pane="bottomLeft" activeCell="E56" sqref="E56"/>
    </sheetView>
  </sheetViews>
  <sheetFormatPr defaultColWidth="8.6328125" defaultRowHeight="14.5" x14ac:dyDescent="0.35"/>
  <cols>
    <col min="1" max="1" width="18" customWidth="1"/>
    <col min="2" max="3" width="8" customWidth="1"/>
    <col min="4" max="4" width="16" customWidth="1"/>
    <col min="5" max="5" width="12" customWidth="1"/>
    <col min="6" max="6" width="14" customWidth="1"/>
    <col min="7" max="7" width="12" customWidth="1"/>
    <col min="8" max="9" width="9" customWidth="1"/>
  </cols>
  <sheetData>
    <row r="1" spans="1:9" x14ac:dyDescent="0.35">
      <c r="A1" s="1" t="s">
        <v>89</v>
      </c>
      <c r="B1" s="1" t="s">
        <v>90</v>
      </c>
      <c r="C1" s="1" t="s">
        <v>21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 spans="1:9" x14ac:dyDescent="0.35">
      <c r="A2" s="2" t="s">
        <v>28</v>
      </c>
      <c r="B2" s="3" t="str">
        <f t="shared" ref="B2:B49" si="0">C2&amp;D2</f>
        <v>A1</v>
      </c>
      <c r="C2" s="3" t="s">
        <v>27</v>
      </c>
      <c r="D2" s="10">
        <v>1</v>
      </c>
      <c r="E2" s="10">
        <v>1</v>
      </c>
      <c r="F2" s="10"/>
      <c r="G2" s="10"/>
      <c r="H2" s="10"/>
      <c r="I2" s="10"/>
    </row>
    <row r="3" spans="1:9" x14ac:dyDescent="0.35">
      <c r="A3" s="2" t="s">
        <v>29</v>
      </c>
      <c r="B3" s="3" t="str">
        <f t="shared" si="0"/>
        <v>A2</v>
      </c>
      <c r="C3" s="3" t="s">
        <v>27</v>
      </c>
      <c r="D3" s="10">
        <v>2</v>
      </c>
      <c r="E3" s="10"/>
      <c r="F3" s="10"/>
      <c r="G3" s="10"/>
      <c r="H3" s="10"/>
      <c r="I3" s="10"/>
    </row>
    <row r="4" spans="1:9" x14ac:dyDescent="0.35">
      <c r="A4" s="2" t="s">
        <v>30</v>
      </c>
      <c r="B4" s="3" t="str">
        <f t="shared" si="0"/>
        <v>A3</v>
      </c>
      <c r="C4" s="3" t="s">
        <v>27</v>
      </c>
      <c r="D4" s="10">
        <v>3</v>
      </c>
      <c r="E4" s="10"/>
      <c r="F4" s="10"/>
      <c r="G4" s="10"/>
      <c r="H4" s="10"/>
      <c r="I4" s="10"/>
    </row>
    <row r="5" spans="1:9" x14ac:dyDescent="0.35">
      <c r="A5" s="2" t="s">
        <v>31</v>
      </c>
      <c r="B5" s="3" t="str">
        <f t="shared" si="0"/>
        <v>A4</v>
      </c>
      <c r="C5" s="3" t="s">
        <v>27</v>
      </c>
      <c r="D5" s="10">
        <v>4</v>
      </c>
      <c r="E5" s="10"/>
      <c r="F5" s="10"/>
      <c r="G5" s="10"/>
      <c r="H5" s="10"/>
      <c r="I5" s="10"/>
    </row>
    <row r="6" spans="1:9" x14ac:dyDescent="0.35">
      <c r="A6" s="2" t="s">
        <v>35</v>
      </c>
      <c r="B6" s="3" t="str">
        <f t="shared" si="0"/>
        <v>B2</v>
      </c>
      <c r="C6" s="3" t="s">
        <v>34</v>
      </c>
      <c r="D6" s="10">
        <v>2</v>
      </c>
      <c r="E6" s="10">
        <v>1</v>
      </c>
      <c r="F6" s="10"/>
      <c r="G6" s="10"/>
      <c r="H6" s="10"/>
      <c r="I6" s="10"/>
    </row>
    <row r="7" spans="1:9" x14ac:dyDescent="0.35">
      <c r="A7" s="2" t="s">
        <v>36</v>
      </c>
      <c r="B7" s="3" t="str">
        <f t="shared" si="0"/>
        <v>B1</v>
      </c>
      <c r="C7" s="3" t="s">
        <v>34</v>
      </c>
      <c r="D7" s="10">
        <v>1</v>
      </c>
      <c r="E7" s="10"/>
      <c r="F7" s="10"/>
      <c r="G7" s="10"/>
      <c r="H7" s="10"/>
      <c r="I7" s="10"/>
    </row>
    <row r="8" spans="1:9" x14ac:dyDescent="0.35">
      <c r="A8" s="2" t="s">
        <v>37</v>
      </c>
      <c r="B8" s="3" t="str">
        <f t="shared" si="0"/>
        <v>B3</v>
      </c>
      <c r="C8" s="3" t="s">
        <v>34</v>
      </c>
      <c r="D8" s="10">
        <v>3</v>
      </c>
      <c r="E8" s="10"/>
      <c r="F8" s="10"/>
      <c r="G8" s="10"/>
      <c r="H8" s="10"/>
      <c r="I8" s="10"/>
    </row>
    <row r="9" spans="1:9" x14ac:dyDescent="0.35">
      <c r="A9" s="2" t="s">
        <v>38</v>
      </c>
      <c r="B9" s="3" t="str">
        <f t="shared" si="0"/>
        <v>B4</v>
      </c>
      <c r="C9" s="3" t="s">
        <v>34</v>
      </c>
      <c r="D9" s="10">
        <v>4</v>
      </c>
      <c r="E9" s="10"/>
      <c r="F9" s="10"/>
      <c r="G9" s="10"/>
      <c r="H9" s="10"/>
      <c r="I9" s="10"/>
    </row>
    <row r="10" spans="1:9" x14ac:dyDescent="0.35">
      <c r="A10" s="2" t="s">
        <v>40</v>
      </c>
      <c r="B10" s="3" t="str">
        <f t="shared" si="0"/>
        <v>C1</v>
      </c>
      <c r="C10" s="3" t="s">
        <v>39</v>
      </c>
      <c r="D10" s="10">
        <v>1</v>
      </c>
      <c r="E10" s="10">
        <v>1</v>
      </c>
      <c r="F10" s="10">
        <v>1</v>
      </c>
      <c r="G10" s="10"/>
      <c r="H10" s="10"/>
      <c r="I10" s="10"/>
    </row>
    <row r="11" spans="1:9" x14ac:dyDescent="0.35">
      <c r="A11" s="2" t="s">
        <v>41</v>
      </c>
      <c r="B11" s="3" t="str">
        <f t="shared" si="0"/>
        <v>C2</v>
      </c>
      <c r="C11" s="3" t="s">
        <v>39</v>
      </c>
      <c r="D11" s="10">
        <v>2</v>
      </c>
      <c r="E11" s="10"/>
      <c r="F11" s="10"/>
      <c r="G11" s="10"/>
      <c r="H11" s="10"/>
      <c r="I11" s="10"/>
    </row>
    <row r="12" spans="1:9" x14ac:dyDescent="0.35">
      <c r="A12" s="2" t="s">
        <v>42</v>
      </c>
      <c r="B12" s="3" t="str">
        <f t="shared" si="0"/>
        <v>C3</v>
      </c>
      <c r="C12" s="3" t="s">
        <v>39</v>
      </c>
      <c r="D12" s="10">
        <v>3</v>
      </c>
      <c r="E12" s="10"/>
      <c r="F12" s="10"/>
      <c r="G12" s="10"/>
      <c r="H12" s="10"/>
      <c r="I12" s="10"/>
    </row>
    <row r="13" spans="1:9" x14ac:dyDescent="0.35">
      <c r="A13" s="2" t="s">
        <v>43</v>
      </c>
      <c r="B13" s="3" t="str">
        <f t="shared" si="0"/>
        <v>C4</v>
      </c>
      <c r="C13" s="3" t="s">
        <v>39</v>
      </c>
      <c r="D13" s="10">
        <v>4</v>
      </c>
      <c r="E13" s="10"/>
      <c r="F13" s="10"/>
      <c r="G13" s="10"/>
      <c r="H13" s="10"/>
      <c r="I13" s="10"/>
    </row>
    <row r="14" spans="1:9" x14ac:dyDescent="0.35">
      <c r="A14" s="2" t="s">
        <v>45</v>
      </c>
      <c r="B14" s="3" t="str">
        <f t="shared" si="0"/>
        <v>D1</v>
      </c>
      <c r="C14" s="3" t="s">
        <v>44</v>
      </c>
      <c r="D14" s="10">
        <v>1</v>
      </c>
      <c r="E14" s="10">
        <v>1</v>
      </c>
      <c r="F14" s="10"/>
      <c r="G14" s="10"/>
      <c r="H14" s="10"/>
      <c r="I14" s="10"/>
    </row>
    <row r="15" spans="1:9" x14ac:dyDescent="0.35">
      <c r="A15" s="2" t="s">
        <v>46</v>
      </c>
      <c r="B15" s="3" t="str">
        <f t="shared" si="0"/>
        <v>D4</v>
      </c>
      <c r="C15" s="3" t="s">
        <v>44</v>
      </c>
      <c r="D15" s="10">
        <v>4</v>
      </c>
      <c r="E15" s="10"/>
      <c r="F15" s="10"/>
      <c r="G15" s="10"/>
      <c r="H15" s="10"/>
      <c r="I15" s="10"/>
    </row>
    <row r="16" spans="1:9" x14ac:dyDescent="0.35">
      <c r="A16" s="2" t="s">
        <v>47</v>
      </c>
      <c r="B16" s="3" t="str">
        <f t="shared" si="0"/>
        <v>D2</v>
      </c>
      <c r="C16" s="3" t="s">
        <v>44</v>
      </c>
      <c r="D16" s="10">
        <v>2</v>
      </c>
      <c r="E16" s="10"/>
      <c r="F16" s="10"/>
      <c r="G16" s="10"/>
      <c r="H16" s="10"/>
      <c r="I16" s="10"/>
    </row>
    <row r="17" spans="1:9" x14ac:dyDescent="0.35">
      <c r="A17" s="2" t="s">
        <v>48</v>
      </c>
      <c r="B17" s="3" t="str">
        <f t="shared" si="0"/>
        <v>D3</v>
      </c>
      <c r="C17" s="3" t="s">
        <v>44</v>
      </c>
      <c r="D17" s="10">
        <v>3</v>
      </c>
      <c r="E17" s="10"/>
      <c r="F17" s="10"/>
      <c r="G17" s="10"/>
      <c r="H17" s="10"/>
      <c r="I17" s="10"/>
    </row>
    <row r="18" spans="1:9" x14ac:dyDescent="0.35">
      <c r="A18" s="2" t="s">
        <v>50</v>
      </c>
      <c r="B18" s="3" t="str">
        <f t="shared" si="0"/>
        <v>E1</v>
      </c>
      <c r="C18" s="3" t="s">
        <v>49</v>
      </c>
      <c r="D18" s="10">
        <v>1</v>
      </c>
      <c r="E18" s="10">
        <v>1</v>
      </c>
      <c r="F18" s="10">
        <v>1</v>
      </c>
      <c r="G18" s="10"/>
      <c r="H18" s="10"/>
      <c r="I18" s="10"/>
    </row>
    <row r="19" spans="1:9" x14ac:dyDescent="0.35">
      <c r="A19" s="2" t="s">
        <v>51</v>
      </c>
      <c r="B19" s="3" t="str">
        <f t="shared" si="0"/>
        <v>E2</v>
      </c>
      <c r="C19" s="3" t="s">
        <v>49</v>
      </c>
      <c r="D19" s="10">
        <v>2</v>
      </c>
      <c r="E19" s="10">
        <v>1</v>
      </c>
      <c r="F19" s="10"/>
      <c r="G19" s="10"/>
      <c r="H19" s="10"/>
      <c r="I19" s="10"/>
    </row>
    <row r="20" spans="1:9" x14ac:dyDescent="0.35">
      <c r="A20" s="2" t="s">
        <v>52</v>
      </c>
      <c r="B20" s="3" t="str">
        <f t="shared" si="0"/>
        <v>E4</v>
      </c>
      <c r="C20" s="3" t="s">
        <v>49</v>
      </c>
      <c r="D20" s="10">
        <v>4</v>
      </c>
      <c r="E20" s="10"/>
      <c r="F20" s="10"/>
      <c r="G20" s="10"/>
      <c r="H20" s="10"/>
      <c r="I20" s="10"/>
    </row>
    <row r="21" spans="1:9" x14ac:dyDescent="0.35">
      <c r="A21" s="2" t="s">
        <v>53</v>
      </c>
      <c r="B21" s="3" t="str">
        <f t="shared" si="0"/>
        <v>E3</v>
      </c>
      <c r="C21" s="3" t="s">
        <v>49</v>
      </c>
      <c r="D21" s="10">
        <v>3</v>
      </c>
      <c r="E21" s="10"/>
      <c r="F21" s="10"/>
      <c r="G21" s="10"/>
      <c r="H21" s="10"/>
      <c r="I21" s="10"/>
    </row>
    <row r="22" spans="1:9" x14ac:dyDescent="0.35">
      <c r="A22" s="2" t="s">
        <v>55</v>
      </c>
      <c r="B22" s="3" t="str">
        <f t="shared" si="0"/>
        <v>F1</v>
      </c>
      <c r="C22" s="3" t="s">
        <v>54</v>
      </c>
      <c r="D22" s="10">
        <v>1</v>
      </c>
      <c r="E22" s="10">
        <v>1</v>
      </c>
      <c r="F22" s="10"/>
      <c r="G22" s="10"/>
      <c r="H22" s="10"/>
      <c r="I22" s="10"/>
    </row>
    <row r="23" spans="1:9" x14ac:dyDescent="0.35">
      <c r="A23" s="2" t="s">
        <v>56</v>
      </c>
      <c r="B23" s="3" t="str">
        <f t="shared" si="0"/>
        <v>F3</v>
      </c>
      <c r="C23" s="3" t="s">
        <v>54</v>
      </c>
      <c r="D23" s="10">
        <v>3</v>
      </c>
      <c r="E23" s="10"/>
      <c r="F23" s="10"/>
      <c r="G23" s="10"/>
      <c r="H23" s="10"/>
      <c r="I23" s="10"/>
    </row>
    <row r="24" spans="1:9" x14ac:dyDescent="0.35">
      <c r="A24" s="2" t="s">
        <v>57</v>
      </c>
      <c r="B24" s="3" t="str">
        <f t="shared" si="0"/>
        <v>F4</v>
      </c>
      <c r="C24" s="3" t="s">
        <v>54</v>
      </c>
      <c r="D24" s="10">
        <v>4</v>
      </c>
      <c r="E24" s="10"/>
      <c r="F24" s="10"/>
      <c r="G24" s="10"/>
      <c r="H24" s="10"/>
      <c r="I24" s="10"/>
    </row>
    <row r="25" spans="1:9" x14ac:dyDescent="0.35">
      <c r="A25" s="2" t="s">
        <v>58</v>
      </c>
      <c r="B25" s="3" t="str">
        <f t="shared" si="0"/>
        <v>F2</v>
      </c>
      <c r="C25" s="3" t="s">
        <v>54</v>
      </c>
      <c r="D25" s="10">
        <v>2</v>
      </c>
      <c r="E25" s="10"/>
      <c r="F25" s="10"/>
      <c r="G25" s="10"/>
      <c r="H25" s="10"/>
      <c r="I25" s="10"/>
    </row>
    <row r="26" spans="1:9" x14ac:dyDescent="0.35">
      <c r="A26" s="2" t="s">
        <v>60</v>
      </c>
      <c r="B26" s="3" t="str">
        <f t="shared" si="0"/>
        <v>G1</v>
      </c>
      <c r="C26" s="3" t="s">
        <v>59</v>
      </c>
      <c r="D26" s="10">
        <v>1</v>
      </c>
      <c r="E26" s="10">
        <v>1</v>
      </c>
      <c r="F26" s="10">
        <v>1</v>
      </c>
      <c r="G26" s="10"/>
      <c r="H26" s="10"/>
      <c r="I26" s="10"/>
    </row>
    <row r="27" spans="1:9" x14ac:dyDescent="0.35">
      <c r="A27" s="2" t="s">
        <v>61</v>
      </c>
      <c r="B27" s="3" t="str">
        <f t="shared" si="0"/>
        <v>G4</v>
      </c>
      <c r="C27" s="3" t="s">
        <v>59</v>
      </c>
      <c r="D27" s="10">
        <v>4</v>
      </c>
      <c r="E27" s="10"/>
      <c r="F27" s="10"/>
      <c r="G27" s="10"/>
      <c r="H27" s="10"/>
      <c r="I27" s="10"/>
    </row>
    <row r="28" spans="1:9" x14ac:dyDescent="0.35">
      <c r="A28" s="2" t="s">
        <v>62</v>
      </c>
      <c r="B28" s="3" t="str">
        <f t="shared" si="0"/>
        <v>G2</v>
      </c>
      <c r="C28" s="3" t="s">
        <v>59</v>
      </c>
      <c r="D28" s="10">
        <v>2</v>
      </c>
      <c r="E28" s="10"/>
      <c r="F28" s="10"/>
      <c r="G28" s="10"/>
      <c r="H28" s="10"/>
      <c r="I28" s="10"/>
    </row>
    <row r="29" spans="1:9" x14ac:dyDescent="0.35">
      <c r="A29" s="2" t="s">
        <v>63</v>
      </c>
      <c r="B29" s="3" t="str">
        <f t="shared" si="0"/>
        <v>G3</v>
      </c>
      <c r="C29" s="3" t="s">
        <v>59</v>
      </c>
      <c r="D29" s="10">
        <v>3</v>
      </c>
      <c r="E29" s="10"/>
      <c r="F29" s="10"/>
      <c r="G29" s="10"/>
      <c r="H29" s="10"/>
      <c r="I29" s="10"/>
    </row>
    <row r="30" spans="1:9" x14ac:dyDescent="0.35">
      <c r="A30" s="2" t="s">
        <v>65</v>
      </c>
      <c r="B30" s="3" t="str">
        <f t="shared" si="0"/>
        <v>H1</v>
      </c>
      <c r="C30" s="3" t="s">
        <v>64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/>
    </row>
    <row r="31" spans="1:9" x14ac:dyDescent="0.35">
      <c r="A31" s="2" t="s">
        <v>66</v>
      </c>
      <c r="B31" s="3" t="str">
        <f t="shared" si="0"/>
        <v>H2</v>
      </c>
      <c r="C31" s="3" t="s">
        <v>64</v>
      </c>
      <c r="D31" s="10">
        <v>2</v>
      </c>
      <c r="E31" s="10">
        <v>1</v>
      </c>
      <c r="F31" s="10"/>
      <c r="G31" s="10"/>
      <c r="H31" s="10"/>
      <c r="I31" s="10"/>
    </row>
    <row r="32" spans="1:9" x14ac:dyDescent="0.35">
      <c r="A32" s="2" t="s">
        <v>67</v>
      </c>
      <c r="B32" s="3" t="str">
        <f t="shared" si="0"/>
        <v>H3</v>
      </c>
      <c r="C32" s="3" t="s">
        <v>64</v>
      </c>
      <c r="D32" s="10">
        <v>3</v>
      </c>
      <c r="E32" s="10"/>
      <c r="F32" s="10"/>
      <c r="G32" s="10"/>
      <c r="H32" s="10"/>
      <c r="I32" s="10"/>
    </row>
    <row r="33" spans="1:9" x14ac:dyDescent="0.35">
      <c r="A33" s="2" t="s">
        <v>68</v>
      </c>
      <c r="B33" s="3" t="str">
        <f t="shared" si="0"/>
        <v>H4</v>
      </c>
      <c r="C33" s="3" t="s">
        <v>64</v>
      </c>
      <c r="D33" s="10">
        <v>4</v>
      </c>
      <c r="E33" s="10"/>
      <c r="F33" s="10"/>
      <c r="G33" s="10"/>
      <c r="H33" s="10"/>
      <c r="I33" s="10"/>
    </row>
    <row r="34" spans="1:9" x14ac:dyDescent="0.35">
      <c r="A34" s="2" t="s">
        <v>70</v>
      </c>
      <c r="B34" s="3" t="str">
        <f t="shared" si="0"/>
        <v>I1</v>
      </c>
      <c r="C34" s="3" t="s">
        <v>69</v>
      </c>
      <c r="D34" s="10">
        <v>1</v>
      </c>
      <c r="E34" s="10">
        <v>1</v>
      </c>
      <c r="F34" s="10">
        <v>1</v>
      </c>
      <c r="G34" s="10">
        <v>1</v>
      </c>
      <c r="H34" s="10"/>
      <c r="I34" s="10"/>
    </row>
    <row r="35" spans="1:9" x14ac:dyDescent="0.35">
      <c r="A35" s="2" t="s">
        <v>71</v>
      </c>
      <c r="B35" s="3" t="str">
        <f t="shared" si="0"/>
        <v>I3</v>
      </c>
      <c r="C35" s="3" t="s">
        <v>69</v>
      </c>
      <c r="D35" s="10">
        <v>3</v>
      </c>
      <c r="E35" s="10"/>
      <c r="F35" s="10"/>
      <c r="G35" s="10"/>
      <c r="H35" s="10"/>
      <c r="I35" s="10"/>
    </row>
    <row r="36" spans="1:9" x14ac:dyDescent="0.35">
      <c r="A36" s="2" t="s">
        <v>72</v>
      </c>
      <c r="B36" s="3" t="str">
        <f t="shared" si="0"/>
        <v>I2</v>
      </c>
      <c r="C36" s="3" t="s">
        <v>69</v>
      </c>
      <c r="D36" s="10">
        <v>2</v>
      </c>
      <c r="E36" s="10">
        <v>1</v>
      </c>
      <c r="F36" s="10"/>
      <c r="G36" s="10"/>
      <c r="H36" s="10"/>
      <c r="I36" s="10"/>
    </row>
    <row r="37" spans="1:9" x14ac:dyDescent="0.35">
      <c r="A37" s="2" t="s">
        <v>73</v>
      </c>
      <c r="B37" s="3" t="str">
        <f t="shared" si="0"/>
        <v>I4</v>
      </c>
      <c r="C37" s="3" t="s">
        <v>69</v>
      </c>
      <c r="D37" s="10">
        <v>4</v>
      </c>
      <c r="E37" s="10"/>
      <c r="F37" s="10"/>
      <c r="G37" s="10"/>
      <c r="H37" s="10"/>
      <c r="I37" s="10"/>
    </row>
    <row r="38" spans="1:9" x14ac:dyDescent="0.35">
      <c r="A38" s="2" t="s">
        <v>75</v>
      </c>
      <c r="B38" s="3" t="str">
        <f t="shared" si="0"/>
        <v>J1</v>
      </c>
      <c r="C38" s="3" t="s">
        <v>74</v>
      </c>
      <c r="D38" s="10">
        <v>1</v>
      </c>
      <c r="E38" s="10">
        <v>1</v>
      </c>
      <c r="F38" s="10">
        <v>1</v>
      </c>
      <c r="G38" s="10">
        <v>1</v>
      </c>
      <c r="H38" s="10">
        <v>1</v>
      </c>
      <c r="I38" s="10">
        <v>1</v>
      </c>
    </row>
    <row r="39" spans="1:9" x14ac:dyDescent="0.35">
      <c r="A39" s="2" t="s">
        <v>76</v>
      </c>
      <c r="B39" s="3" t="str">
        <f t="shared" si="0"/>
        <v>J3</v>
      </c>
      <c r="C39" s="3" t="s">
        <v>74</v>
      </c>
      <c r="D39" s="10">
        <v>3</v>
      </c>
      <c r="E39" s="10"/>
      <c r="F39" s="10"/>
      <c r="G39" s="10"/>
      <c r="H39" s="10"/>
      <c r="I39" s="10"/>
    </row>
    <row r="40" spans="1:9" x14ac:dyDescent="0.35">
      <c r="A40" s="2" t="s">
        <v>77</v>
      </c>
      <c r="B40" s="3" t="str">
        <f t="shared" si="0"/>
        <v>J2</v>
      </c>
      <c r="C40" s="3" t="s">
        <v>74</v>
      </c>
      <c r="D40" s="10">
        <v>2</v>
      </c>
      <c r="E40" s="10"/>
      <c r="F40" s="10"/>
      <c r="G40" s="10"/>
      <c r="H40" s="10"/>
      <c r="I40" s="10"/>
    </row>
    <row r="41" spans="1:9" x14ac:dyDescent="0.35">
      <c r="A41" s="2" t="s">
        <v>78</v>
      </c>
      <c r="B41" s="3" t="str">
        <f t="shared" si="0"/>
        <v>J4</v>
      </c>
      <c r="C41" s="3" t="s">
        <v>74</v>
      </c>
      <c r="D41" s="10">
        <v>4</v>
      </c>
      <c r="E41" s="10"/>
      <c r="F41" s="10"/>
      <c r="G41" s="10"/>
      <c r="H41" s="10"/>
      <c r="I41" s="10"/>
    </row>
    <row r="42" spans="1:9" x14ac:dyDescent="0.35">
      <c r="A42" s="2" t="s">
        <v>80</v>
      </c>
      <c r="B42" s="3" t="str">
        <f t="shared" si="0"/>
        <v>K1</v>
      </c>
      <c r="C42" s="3" t="s">
        <v>79</v>
      </c>
      <c r="D42" s="10">
        <v>1</v>
      </c>
      <c r="E42" s="10">
        <v>1</v>
      </c>
      <c r="F42" s="10">
        <v>1</v>
      </c>
      <c r="G42" s="10"/>
      <c r="H42" s="10"/>
      <c r="I42" s="10"/>
    </row>
    <row r="43" spans="1:9" x14ac:dyDescent="0.35">
      <c r="A43" s="2" t="s">
        <v>81</v>
      </c>
      <c r="B43" s="3" t="str">
        <f t="shared" si="0"/>
        <v>K2</v>
      </c>
      <c r="C43" s="3" t="s">
        <v>79</v>
      </c>
      <c r="D43" s="10">
        <v>2</v>
      </c>
      <c r="E43" s="10">
        <v>1</v>
      </c>
      <c r="F43" s="10"/>
      <c r="G43" s="10"/>
      <c r="H43" s="10"/>
      <c r="I43" s="10"/>
    </row>
    <row r="44" spans="1:9" x14ac:dyDescent="0.35">
      <c r="A44" s="2" t="s">
        <v>82</v>
      </c>
      <c r="B44" s="3" t="str">
        <f t="shared" si="0"/>
        <v>K4</v>
      </c>
      <c r="C44" s="3" t="s">
        <v>79</v>
      </c>
      <c r="D44" s="10">
        <v>4</v>
      </c>
      <c r="E44" s="10"/>
      <c r="F44" s="10"/>
      <c r="G44" s="10"/>
      <c r="H44" s="10"/>
      <c r="I44" s="10"/>
    </row>
    <row r="45" spans="1:9" x14ac:dyDescent="0.35">
      <c r="A45" s="2" t="s">
        <v>83</v>
      </c>
      <c r="B45" s="3" t="str">
        <f t="shared" si="0"/>
        <v>K3</v>
      </c>
      <c r="C45" s="3" t="s">
        <v>79</v>
      </c>
      <c r="D45" s="10">
        <v>3</v>
      </c>
      <c r="E45" s="10"/>
      <c r="F45" s="10"/>
      <c r="G45" s="10"/>
      <c r="H45" s="10"/>
      <c r="I45" s="10"/>
    </row>
    <row r="46" spans="1:9" x14ac:dyDescent="0.35">
      <c r="A46" s="2" t="s">
        <v>85</v>
      </c>
      <c r="B46" s="3" t="str">
        <f t="shared" si="0"/>
        <v>L1</v>
      </c>
      <c r="C46" s="3" t="s">
        <v>84</v>
      </c>
      <c r="D46" s="10">
        <v>1</v>
      </c>
      <c r="E46" s="10">
        <v>1</v>
      </c>
      <c r="F46" s="10">
        <v>1</v>
      </c>
      <c r="G46" s="10">
        <v>1</v>
      </c>
      <c r="H46" s="10"/>
      <c r="I46" s="10"/>
    </row>
    <row r="47" spans="1:9" x14ac:dyDescent="0.35">
      <c r="A47" s="2" t="s">
        <v>86</v>
      </c>
      <c r="B47" s="3" t="str">
        <f t="shared" si="0"/>
        <v>L2</v>
      </c>
      <c r="C47" s="3" t="s">
        <v>84</v>
      </c>
      <c r="D47" s="10">
        <v>2</v>
      </c>
      <c r="E47" s="10"/>
      <c r="F47" s="10"/>
      <c r="G47" s="10"/>
      <c r="H47" s="10"/>
      <c r="I47" s="10"/>
    </row>
    <row r="48" spans="1:9" x14ac:dyDescent="0.35">
      <c r="A48" s="2" t="s">
        <v>87</v>
      </c>
      <c r="B48" s="3" t="str">
        <f t="shared" si="0"/>
        <v>L4</v>
      </c>
      <c r="C48" s="3" t="s">
        <v>84</v>
      </c>
      <c r="D48" s="10">
        <v>4</v>
      </c>
      <c r="E48" s="10"/>
      <c r="F48" s="10"/>
      <c r="G48" s="10"/>
      <c r="H48" s="10"/>
      <c r="I48" s="10"/>
    </row>
    <row r="49" spans="1:9" x14ac:dyDescent="0.35">
      <c r="A49" s="2" t="s">
        <v>88</v>
      </c>
      <c r="B49" s="3" t="str">
        <f t="shared" si="0"/>
        <v>L3</v>
      </c>
      <c r="C49" s="3" t="s">
        <v>84</v>
      </c>
      <c r="D49" s="10">
        <v>3</v>
      </c>
      <c r="E49" s="10"/>
      <c r="F49" s="10"/>
      <c r="G49" s="10"/>
      <c r="H49" s="10"/>
      <c r="I49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tabSelected="1" zoomScaleNormal="100" workbookViewId="0">
      <selection activeCell="E14" sqref="E14"/>
    </sheetView>
  </sheetViews>
  <sheetFormatPr defaultColWidth="8.6328125" defaultRowHeight="14.5" x14ac:dyDescent="0.35"/>
  <cols>
    <col min="1" max="1" width="26" customWidth="1"/>
    <col min="2" max="2" width="16" customWidth="1"/>
    <col min="3" max="5" width="14" customWidth="1"/>
    <col min="6" max="6" width="3" customWidth="1"/>
    <col min="7" max="7" width="20" customWidth="1"/>
    <col min="8" max="8" width="26" customWidth="1"/>
    <col min="9" max="9" width="4" customWidth="1"/>
    <col min="10" max="10" width="3" customWidth="1"/>
  </cols>
  <sheetData>
    <row r="1" spans="1:9" x14ac:dyDescent="0.35">
      <c r="A1" s="1" t="s">
        <v>97</v>
      </c>
      <c r="B1" s="1">
        <v>1</v>
      </c>
      <c r="C1" s="1">
        <v>2</v>
      </c>
      <c r="D1" s="1">
        <v>3</v>
      </c>
      <c r="E1" s="1">
        <v>4</v>
      </c>
      <c r="G1" s="1" t="s">
        <v>98</v>
      </c>
      <c r="H1" s="1" t="s">
        <v>99</v>
      </c>
      <c r="I1" s="1"/>
    </row>
    <row r="2" spans="1:9" x14ac:dyDescent="0.35">
      <c r="A2" s="12" t="s">
        <v>27</v>
      </c>
      <c r="B2" s="3" t="str">
        <f>IF(ISNA(MATCH($A2&amp;B$1,'Elimination Rounds'!$B$2:$B$49,0)),"Choice not made!",INDEX('Elimination Rounds'!$A$2:$A$49,MATCH($A2&amp;B$1,'Elimination Rounds'!$B$2:$B$49,0)))</f>
        <v>Mexico</v>
      </c>
      <c r="C2" s="3" t="str">
        <f>IF(ISNA(MATCH($A2&amp;C$1,'Elimination Rounds'!$B$2:$B$49,0)),"Choice not made!",INDEX('Elimination Rounds'!$A$2:$A$49,MATCH($A2&amp;C$1,'Elimination Rounds'!$B$2:$B$49,0)))</f>
        <v>South Korea</v>
      </c>
      <c r="D2" s="3" t="str">
        <f>IF(ISNA(MATCH($A2&amp;D$1,'Elimination Rounds'!$B$2:$B$49,0)),"Choice not made!",INDEX('Elimination Rounds'!$A$2:$A$49,MATCH($A2&amp;D$1,'Elimination Rounds'!$B$2:$B$49,0)))</f>
        <v>South Africa</v>
      </c>
      <c r="E2" s="3" t="str">
        <f>IF(ISNA(MATCH($A2&amp;E$1,'Elimination Rounds'!$B$2:$B$49,0)),"Choice not made!",INDEX('Elimination Rounds'!$A$2:$A$49,MATCH($A2&amp;E$1,'Elimination Rounds'!$B$2:$B$49,0)))</f>
        <v>Czechia</v>
      </c>
      <c r="G2" s="2" t="s">
        <v>101</v>
      </c>
      <c r="H2" s="3" t="str">
        <f>IF(SUM('Elimination Rounds'!E2:E49)=16,"OK","DID NOT SELECT CORRECT NUMBER")</f>
        <v>OK</v>
      </c>
      <c r="I2" s="7" t="s">
        <v>102</v>
      </c>
    </row>
    <row r="3" spans="1:9" x14ac:dyDescent="0.35">
      <c r="A3" s="12" t="s">
        <v>34</v>
      </c>
      <c r="B3" s="3" t="str">
        <f>IF(ISNA(MATCH($A3&amp;B$1,'Elimination Rounds'!$B$2:$B$49,0)),"Choice not made!",INDEX('Elimination Rounds'!$A$2:$A$49,MATCH($A3&amp;B$1,'Elimination Rounds'!$B$2:$B$49,0)))</f>
        <v>Switzerland</v>
      </c>
      <c r="C3" s="3" t="str">
        <f>IF(ISNA(MATCH($A3&amp;C$1,'Elimination Rounds'!$B$2:$B$49,0)),"Choice not made!",INDEX('Elimination Rounds'!$A$2:$A$49,MATCH($A3&amp;C$1,'Elimination Rounds'!$B$2:$B$49,0)))</f>
        <v>Canada</v>
      </c>
      <c r="D3" s="3" t="str">
        <f>IF(ISNA(MATCH($A3&amp;D$1,'Elimination Rounds'!$B$2:$B$49,0)),"Choice not made!",INDEX('Elimination Rounds'!$A$2:$A$49,MATCH($A3&amp;D$1,'Elimination Rounds'!$B$2:$B$49,0)))</f>
        <v>Qatar</v>
      </c>
      <c r="E3" s="3" t="str">
        <f>IF(ISNA(MATCH($A3&amp;E$1,'Elimination Rounds'!$B$2:$B$49,0)),"Choice not made!",INDEX('Elimination Rounds'!$A$2:$A$49,MATCH($A3&amp;E$1,'Elimination Rounds'!$B$2:$B$49,0)))</f>
        <v>Bosnia-Herzegovina</v>
      </c>
      <c r="G3" s="2" t="s">
        <v>103</v>
      </c>
      <c r="H3" s="3" t="str">
        <f>IF(SUM('Elimination Rounds'!F2:F49)=8,"OK","DID NOT SELECT CORRECT NUMBER")</f>
        <v>OK</v>
      </c>
      <c r="I3" s="7" t="s">
        <v>100</v>
      </c>
    </row>
    <row r="4" spans="1:9" x14ac:dyDescent="0.35">
      <c r="A4" s="12" t="s">
        <v>39</v>
      </c>
      <c r="B4" s="3" t="str">
        <f>IF(ISNA(MATCH($A4&amp;B$1,'Elimination Rounds'!$B$2:$B$49,0)),"Choice not made!",INDEX('Elimination Rounds'!$A$2:$A$49,MATCH($A4&amp;B$1,'Elimination Rounds'!$B$2:$B$49,0)))</f>
        <v>Brazil</v>
      </c>
      <c r="C4" s="3" t="str">
        <f>IF(ISNA(MATCH($A4&amp;C$1,'Elimination Rounds'!$B$2:$B$49,0)),"Choice not made!",INDEX('Elimination Rounds'!$A$2:$A$49,MATCH($A4&amp;C$1,'Elimination Rounds'!$B$2:$B$49,0)))</f>
        <v>Morocco</v>
      </c>
      <c r="D4" s="3" t="str">
        <f>IF(ISNA(MATCH($A4&amp;D$1,'Elimination Rounds'!$B$2:$B$49,0)),"Choice not made!",INDEX('Elimination Rounds'!$A$2:$A$49,MATCH($A4&amp;D$1,'Elimination Rounds'!$B$2:$B$49,0)))</f>
        <v>Scotland</v>
      </c>
      <c r="E4" s="3" t="str">
        <f>IF(ISNA(MATCH($A4&amp;E$1,'Elimination Rounds'!$B$2:$B$49,0)),"Choice not made!",INDEX('Elimination Rounds'!$A$2:$A$49,MATCH($A4&amp;E$1,'Elimination Rounds'!$B$2:$B$49,0)))</f>
        <v>Haiti</v>
      </c>
      <c r="G4" s="2" t="s">
        <v>104</v>
      </c>
      <c r="H4" s="3" t="str">
        <f>IF(SUM('Elimination Rounds'!G2:G49)=4,"OK","DID NOT SELECT CORRECT NUMBER")</f>
        <v>OK</v>
      </c>
      <c r="I4" s="7" t="s">
        <v>105</v>
      </c>
    </row>
    <row r="5" spans="1:9" x14ac:dyDescent="0.35">
      <c r="A5" s="12" t="s">
        <v>44</v>
      </c>
      <c r="B5" s="3" t="str">
        <f>IF(ISNA(MATCH($A5&amp;B$1,'Elimination Rounds'!$B$2:$B$49,0)),"Choice not made!",INDEX('Elimination Rounds'!$A$2:$A$49,MATCH($A5&amp;B$1,'Elimination Rounds'!$B$2:$B$49,0)))</f>
        <v>USA</v>
      </c>
      <c r="C5" s="3" t="str">
        <f>IF(ISNA(MATCH($A5&amp;C$1,'Elimination Rounds'!$B$2:$B$49,0)),"Choice not made!",INDEX('Elimination Rounds'!$A$2:$A$49,MATCH($A5&amp;C$1,'Elimination Rounds'!$B$2:$B$49,0)))</f>
        <v>Australia</v>
      </c>
      <c r="D5" s="3" t="str">
        <f>IF(ISNA(MATCH($A5&amp;D$1,'Elimination Rounds'!$B$2:$B$49,0)),"Choice not made!",INDEX('Elimination Rounds'!$A$2:$A$49,MATCH($A5&amp;D$1,'Elimination Rounds'!$B$2:$B$49,0)))</f>
        <v>Turkiye</v>
      </c>
      <c r="E5" s="3" t="str">
        <f>IF(ISNA(MATCH($A5&amp;E$1,'Elimination Rounds'!$B$2:$B$49,0)),"Choice not made!",INDEX('Elimination Rounds'!$A$2:$A$49,MATCH($A5&amp;E$1,'Elimination Rounds'!$B$2:$B$49,0)))</f>
        <v>Paraguay</v>
      </c>
      <c r="G5" s="2" t="s">
        <v>106</v>
      </c>
      <c r="H5" s="3" t="str">
        <f>IF(SUM('Elimination Rounds'!H2:H49)=2,"OK","DID NOT SELECT CORRECT NUMBER")</f>
        <v>OK</v>
      </c>
      <c r="I5" s="7" t="s">
        <v>107</v>
      </c>
    </row>
    <row r="6" spans="1:9" x14ac:dyDescent="0.35">
      <c r="A6" s="12" t="s">
        <v>49</v>
      </c>
      <c r="B6" s="3" t="str">
        <f>IF(ISNA(MATCH($A6&amp;B$1,'Elimination Rounds'!$B$2:$B$49,0)),"Choice not made!",INDEX('Elimination Rounds'!$A$2:$A$49,MATCH($A6&amp;B$1,'Elimination Rounds'!$B$2:$B$49,0)))</f>
        <v>Germany</v>
      </c>
      <c r="C6" s="3" t="str">
        <f>IF(ISNA(MATCH($A6&amp;C$1,'Elimination Rounds'!$B$2:$B$49,0)),"Choice not made!",INDEX('Elimination Rounds'!$A$2:$A$49,MATCH($A6&amp;C$1,'Elimination Rounds'!$B$2:$B$49,0)))</f>
        <v>Ecuador</v>
      </c>
      <c r="D6" s="3" t="str">
        <f>IF(ISNA(MATCH($A6&amp;D$1,'Elimination Rounds'!$B$2:$B$49,0)),"Choice not made!",INDEX('Elimination Rounds'!$A$2:$A$49,MATCH($A6&amp;D$1,'Elimination Rounds'!$B$2:$B$49,0)))</f>
        <v>Curacao</v>
      </c>
      <c r="E6" s="3" t="str">
        <f>IF(ISNA(MATCH($A6&amp;E$1,'Elimination Rounds'!$B$2:$B$49,0)),"Choice not made!",INDEX('Elimination Rounds'!$A$2:$A$49,MATCH($A6&amp;E$1,'Elimination Rounds'!$B$2:$B$49,0)))</f>
        <v>Ivory Coast</v>
      </c>
      <c r="G6" s="2" t="s">
        <v>108</v>
      </c>
      <c r="H6" s="3" t="str">
        <f>IF(SUM('Elimination Rounds'!I2:I49)=1,"OK","DID NOT SELECT CORRECT NUMBER")</f>
        <v>OK</v>
      </c>
      <c r="I6" s="7" t="s">
        <v>109</v>
      </c>
    </row>
    <row r="7" spans="1:9" x14ac:dyDescent="0.35">
      <c r="A7" s="12" t="s">
        <v>54</v>
      </c>
      <c r="B7" s="3" t="str">
        <f>IF(ISNA(MATCH($A7&amp;B$1,'Elimination Rounds'!$B$2:$B$49,0)),"Choice not made!",INDEX('Elimination Rounds'!$A$2:$A$49,MATCH($A7&amp;B$1,'Elimination Rounds'!$B$2:$B$49,0)))</f>
        <v>Netherlands</v>
      </c>
      <c r="C7" s="3" t="str">
        <f>IF(ISNA(MATCH($A7&amp;C$1,'Elimination Rounds'!$B$2:$B$49,0)),"Choice not made!",INDEX('Elimination Rounds'!$A$2:$A$49,MATCH($A7&amp;C$1,'Elimination Rounds'!$B$2:$B$49,0)))</f>
        <v>Sweden</v>
      </c>
      <c r="D7" s="3" t="str">
        <f>IF(ISNA(MATCH($A7&amp;D$1,'Elimination Rounds'!$B$2:$B$49,0)),"Choice not made!",INDEX('Elimination Rounds'!$A$2:$A$49,MATCH($A7&amp;D$1,'Elimination Rounds'!$B$2:$B$49,0)))</f>
        <v>Japan</v>
      </c>
      <c r="E7" s="3" t="str">
        <f>IF(ISNA(MATCH($A7&amp;E$1,'Elimination Rounds'!$B$2:$B$49,0)),"Choice not made!",INDEX('Elimination Rounds'!$A$2:$A$49,MATCH($A7&amp;E$1,'Elimination Rounds'!$B$2:$B$49,0)))</f>
        <v>Tunisia</v>
      </c>
    </row>
    <row r="8" spans="1:9" x14ac:dyDescent="0.35">
      <c r="A8" s="12" t="s">
        <v>59</v>
      </c>
      <c r="B8" s="3" t="str">
        <f>IF(ISNA(MATCH($A8&amp;B$1,'Elimination Rounds'!$B$2:$B$49,0)),"Choice not made!",INDEX('Elimination Rounds'!$A$2:$A$49,MATCH($A8&amp;B$1,'Elimination Rounds'!$B$2:$B$49,0)))</f>
        <v>Belgium</v>
      </c>
      <c r="C8" s="3" t="str">
        <f>IF(ISNA(MATCH($A8&amp;C$1,'Elimination Rounds'!$B$2:$B$49,0)),"Choice not made!",INDEX('Elimination Rounds'!$A$2:$A$49,MATCH($A8&amp;C$1,'Elimination Rounds'!$B$2:$B$49,0)))</f>
        <v>Egypt</v>
      </c>
      <c r="D8" s="3" t="str">
        <f>IF(ISNA(MATCH($A8&amp;D$1,'Elimination Rounds'!$B$2:$B$49,0)),"Choice not made!",INDEX('Elimination Rounds'!$A$2:$A$49,MATCH($A8&amp;D$1,'Elimination Rounds'!$B$2:$B$49,0)))</f>
        <v>New Zealand</v>
      </c>
      <c r="E8" s="3" t="str">
        <f>IF(ISNA(MATCH($A8&amp;E$1,'Elimination Rounds'!$B$2:$B$49,0)),"Choice not made!",INDEX('Elimination Rounds'!$A$2:$A$49,MATCH($A8&amp;E$1,'Elimination Rounds'!$B$2:$B$49,0)))</f>
        <v>Iran</v>
      </c>
      <c r="G8" s="1" t="s">
        <v>112</v>
      </c>
      <c r="H8" s="1" t="s">
        <v>99</v>
      </c>
    </row>
    <row r="9" spans="1:9" x14ac:dyDescent="0.35">
      <c r="A9" s="12" t="s">
        <v>64</v>
      </c>
      <c r="B9" s="3" t="str">
        <f>IF(ISNA(MATCH($A9&amp;B$1,'Elimination Rounds'!$B$2:$B$49,0)),"Choice not made!",INDEX('Elimination Rounds'!$A$2:$A$49,MATCH($A9&amp;B$1,'Elimination Rounds'!$B$2:$B$49,0)))</f>
        <v>Spain</v>
      </c>
      <c r="C9" s="3" t="str">
        <f>IF(ISNA(MATCH($A9&amp;C$1,'Elimination Rounds'!$B$2:$B$49,0)),"Choice not made!",INDEX('Elimination Rounds'!$A$2:$A$49,MATCH($A9&amp;C$1,'Elimination Rounds'!$B$2:$B$49,0)))</f>
        <v>Uruguay</v>
      </c>
      <c r="D9" s="3" t="str">
        <f>IF(ISNA(MATCH($A9&amp;D$1,'Elimination Rounds'!$B$2:$B$49,0)),"Choice not made!",INDEX('Elimination Rounds'!$A$2:$A$49,MATCH($A9&amp;D$1,'Elimination Rounds'!$B$2:$B$49,0)))</f>
        <v>Saudi Arabia</v>
      </c>
      <c r="E9" s="3" t="str">
        <f>IF(ISNA(MATCH($A9&amp;E$1,'Elimination Rounds'!$B$2:$B$49,0)),"Choice not made!",INDEX('Elimination Rounds'!$A$2:$A$49,MATCH($A9&amp;E$1,'Elimination Rounds'!$B$2:$B$49,0)))</f>
        <v>Cape Verde</v>
      </c>
      <c r="G9" s="17" t="s">
        <v>113</v>
      </c>
      <c r="H9" t="str">
        <f>IF('Group Stage'!J5=72,"GOOD TO GO!","SOME GAMES NOT PICKED")</f>
        <v>GOOD TO GO!</v>
      </c>
    </row>
    <row r="10" spans="1:9" x14ac:dyDescent="0.35">
      <c r="A10" s="12" t="s">
        <v>69</v>
      </c>
      <c r="B10" s="3" t="str">
        <f>IF(ISNA(MATCH($A10&amp;B$1,'Elimination Rounds'!$B$2:$B$49,0)),"Choice not made!",INDEX('Elimination Rounds'!$A$2:$A$49,MATCH($A10&amp;B$1,'Elimination Rounds'!$B$2:$B$49,0)))</f>
        <v>France</v>
      </c>
      <c r="C10" s="3" t="str">
        <f>IF(ISNA(MATCH($A10&amp;C$1,'Elimination Rounds'!$B$2:$B$49,0)),"Choice not made!",INDEX('Elimination Rounds'!$A$2:$A$49,MATCH($A10&amp;C$1,'Elimination Rounds'!$B$2:$B$49,0)))</f>
        <v>Norway</v>
      </c>
      <c r="D10" s="3" t="str">
        <f>IF(ISNA(MATCH($A10&amp;D$1,'Elimination Rounds'!$B$2:$B$49,0)),"Choice not made!",INDEX('Elimination Rounds'!$A$2:$A$49,MATCH($A10&amp;D$1,'Elimination Rounds'!$B$2:$B$49,0)))</f>
        <v>Senegal</v>
      </c>
      <c r="E10" s="3" t="str">
        <f>IF(ISNA(MATCH($A10&amp;E$1,'Elimination Rounds'!$B$2:$B$49,0)),"Choice not made!",INDEX('Elimination Rounds'!$A$2:$A$49,MATCH($A10&amp;E$1,'Elimination Rounds'!$B$2:$B$49,0)))</f>
        <v>Iraq</v>
      </c>
    </row>
    <row r="11" spans="1:9" x14ac:dyDescent="0.35">
      <c r="A11" s="12" t="s">
        <v>74</v>
      </c>
      <c r="B11" s="3" t="str">
        <f>IF(ISNA(MATCH($A11&amp;B$1,'Elimination Rounds'!$B$2:$B$49,0)),"Choice not made!",INDEX('Elimination Rounds'!$A$2:$A$49,MATCH($A11&amp;B$1,'Elimination Rounds'!$B$2:$B$49,0)))</f>
        <v>Argentina</v>
      </c>
      <c r="C11" s="3" t="str">
        <f>IF(ISNA(MATCH($A11&amp;C$1,'Elimination Rounds'!$B$2:$B$49,0)),"Choice not made!",INDEX('Elimination Rounds'!$A$2:$A$49,MATCH($A11&amp;C$1,'Elimination Rounds'!$B$2:$B$49,0)))</f>
        <v>Algeria</v>
      </c>
      <c r="D11" s="3" t="str">
        <f>IF(ISNA(MATCH($A11&amp;D$1,'Elimination Rounds'!$B$2:$B$49,0)),"Choice not made!",INDEX('Elimination Rounds'!$A$2:$A$49,MATCH($A11&amp;D$1,'Elimination Rounds'!$B$2:$B$49,0)))</f>
        <v>Austria</v>
      </c>
      <c r="E11" s="3" t="str">
        <f>IF(ISNA(MATCH($A11&amp;E$1,'Elimination Rounds'!$B$2:$B$49,0)),"Choice not made!",INDEX('Elimination Rounds'!$A$2:$A$49,MATCH($A11&amp;E$1,'Elimination Rounds'!$B$2:$B$49,0)))</f>
        <v>Jordan</v>
      </c>
    </row>
    <row r="12" spans="1:9" x14ac:dyDescent="0.35">
      <c r="A12" s="12" t="s">
        <v>79</v>
      </c>
      <c r="B12" s="3" t="str">
        <f>IF(ISNA(MATCH($A12&amp;B$1,'Elimination Rounds'!$B$2:$B$49,0)),"Choice not made!",INDEX('Elimination Rounds'!$A$2:$A$49,MATCH($A12&amp;B$1,'Elimination Rounds'!$B$2:$B$49,0)))</f>
        <v>Portugal</v>
      </c>
      <c r="C12" s="3" t="str">
        <f>IF(ISNA(MATCH($A12&amp;C$1,'Elimination Rounds'!$B$2:$B$49,0)),"Choice not made!",INDEX('Elimination Rounds'!$A$2:$A$49,MATCH($A12&amp;C$1,'Elimination Rounds'!$B$2:$B$49,0)))</f>
        <v>Colombia</v>
      </c>
      <c r="D12" s="3" t="str">
        <f>IF(ISNA(MATCH($A12&amp;D$1,'Elimination Rounds'!$B$2:$B$49,0)),"Choice not made!",INDEX('Elimination Rounds'!$A$2:$A$49,MATCH($A12&amp;D$1,'Elimination Rounds'!$B$2:$B$49,0)))</f>
        <v>DR Congo</v>
      </c>
      <c r="E12" s="3" t="str">
        <f>IF(ISNA(MATCH($A12&amp;E$1,'Elimination Rounds'!$B$2:$B$49,0)),"Choice not made!",INDEX('Elimination Rounds'!$A$2:$A$49,MATCH($A12&amp;E$1,'Elimination Rounds'!$B$2:$B$49,0)))</f>
        <v>Uzbekistan</v>
      </c>
    </row>
    <row r="13" spans="1:9" x14ac:dyDescent="0.35">
      <c r="A13" s="12" t="s">
        <v>84</v>
      </c>
      <c r="B13" s="3" t="str">
        <f>IF(ISNA(MATCH($A13&amp;B$1,'Elimination Rounds'!$B$2:$B$49,0)),"Choice not made!",INDEX('Elimination Rounds'!$A$2:$A$49,MATCH($A13&amp;B$1,'Elimination Rounds'!$B$2:$B$49,0)))</f>
        <v>England</v>
      </c>
      <c r="C13" s="3" t="str">
        <f>IF(ISNA(MATCH($A13&amp;C$1,'Elimination Rounds'!$B$2:$B$49,0)),"Choice not made!",INDEX('Elimination Rounds'!$A$2:$A$49,MATCH($A13&amp;C$1,'Elimination Rounds'!$B$2:$B$49,0)))</f>
        <v>Croatia</v>
      </c>
      <c r="D13" s="3" t="str">
        <f>IF(ISNA(MATCH($A13&amp;D$1,'Elimination Rounds'!$B$2:$B$49,0)),"Choice not made!",INDEX('Elimination Rounds'!$A$2:$A$49,MATCH($A13&amp;D$1,'Elimination Rounds'!$B$2:$B$49,0)))</f>
        <v>Ghana</v>
      </c>
      <c r="E13" s="3" t="str">
        <f>IF(ISNA(MATCH($A13&amp;E$1,'Elimination Rounds'!$B$2:$B$49,0)),"Choice not made!",INDEX('Elimination Rounds'!$A$2:$A$49,MATCH($A13&amp;E$1,'Elimination Rounds'!$B$2:$B$49,0)))</f>
        <v>Panama</v>
      </c>
    </row>
    <row r="16" spans="1:9" x14ac:dyDescent="0.35">
      <c r="A16" s="13" t="s">
        <v>110</v>
      </c>
      <c r="B16" s="14">
        <f>COUNTIF(B2:E13,"Choice not made!")+COUNTIF(H2:H6,"DID NOT SELECT CORRECT NUMBER")</f>
        <v>0</v>
      </c>
    </row>
    <row r="18" spans="1:6" x14ac:dyDescent="0.35">
      <c r="A18" s="15" t="str">
        <f>IF(B16=0,"GOOD TO GO!","NOT READY TO SUBMIT (SEE ERRORS ABOVE)")</f>
        <v>GOOD TO GO!</v>
      </c>
      <c r="B18" s="15"/>
      <c r="C18" s="15"/>
      <c r="D18" s="15"/>
      <c r="E18" s="15"/>
      <c r="F18" s="15"/>
    </row>
    <row r="19" spans="1:6" x14ac:dyDescent="0.35">
      <c r="A19" s="15"/>
      <c r="B19" s="15"/>
      <c r="C19" s="15"/>
      <c r="D19" s="15"/>
      <c r="E19" s="15"/>
      <c r="F19" s="15"/>
    </row>
    <row r="20" spans="1:6" x14ac:dyDescent="0.35">
      <c r="A20" s="15"/>
      <c r="B20" s="15"/>
      <c r="C20" s="15"/>
      <c r="D20" s="15"/>
      <c r="E20" s="15"/>
      <c r="F20" s="15"/>
    </row>
  </sheetData>
  <mergeCells count="1">
    <mergeCell ref="A18:F20"/>
  </mergeCells>
  <conditionalFormatting sqref="A18:F20">
    <cfRule type="expression" dxfId="6" priority="7">
      <formula>NOT(ISERROR(SEARCH("GOOD TO GO!",A18)))</formula>
    </cfRule>
    <cfRule type="expression" dxfId="5" priority="8">
      <formula>NOT(ISERROR(SEARCH("NOT READY",A18)))</formula>
    </cfRule>
  </conditionalFormatting>
  <conditionalFormatting sqref="B2:E13">
    <cfRule type="cellIs" dxfId="3" priority="3" operator="equal">
      <formula>"Choice not made!"</formula>
    </cfRule>
  </conditionalFormatting>
  <conditionalFormatting sqref="H2:H6">
    <cfRule type="cellIs" dxfId="2" priority="4" operator="equal">
      <formula>"OK"</formula>
    </cfRule>
    <cfRule type="cellIs" dxfId="1" priority="5" operator="equal">
      <formula>"DID NOT SELECT CORRECT NUMBER"</formula>
    </cfRule>
  </conditionalFormatting>
  <conditionalFormatting sqref="H9">
    <cfRule type="expression" dxfId="0" priority="1">
      <formula>"""GOOD TO GO!"""</formula>
    </cfRule>
  </conditionalFormatting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Scoring Rules</vt:lpstr>
      <vt:lpstr>Group Stage</vt:lpstr>
      <vt:lpstr>Elimination Rounds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Andrew Lilley</cp:lastModifiedBy>
  <cp:revision>0</cp:revision>
  <dcterms:created xsi:type="dcterms:W3CDTF">2026-06-03T12:18:58Z</dcterms:created>
  <dcterms:modified xsi:type="dcterms:W3CDTF">2026-06-05T07:02:17Z</dcterms:modified>
  <dc:language>en-US</dc:language>
</cp:coreProperties>
</file>