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S:\Fixed Income\Sales\Andrew Lilley\world_cup\"/>
    </mc:Choice>
  </mc:AlternateContent>
  <xr:revisionPtr revIDLastSave="0" documentId="13_ncr:1_{8A7BA56E-5126-4B6E-B408-3699A7F3B45D}" xr6:coauthVersionLast="36" xr6:coauthVersionMax="36" xr10:uidLastSave="{00000000-0000-0000-0000-000000000000}"/>
  <bookViews>
    <workbookView xWindow="0" yWindow="0" windowWidth="21450" windowHeight="12450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F46" i="2" l="1"/>
  <c r="H5" i="5"/>
  <c r="H4" i="5"/>
  <c r="H3" i="5"/>
  <c r="H2" i="5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E2" i="3"/>
  <c r="B2" i="3"/>
  <c r="F49" i="2"/>
  <c r="F48" i="2"/>
  <c r="F47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C12" i="1"/>
  <c r="D6" i="5" l="1"/>
  <c r="C6" i="5"/>
  <c r="E3" i="5"/>
  <c r="D3" i="5"/>
  <c r="E6" i="5"/>
  <c r="C3" i="5"/>
  <c r="I4" i="2"/>
  <c r="H1" i="5"/>
  <c r="C7" i="5"/>
  <c r="I2" i="2"/>
  <c r="C4" i="5"/>
  <c r="E7" i="5"/>
  <c r="D4" i="5"/>
  <c r="B8" i="5"/>
  <c r="I3" i="2"/>
  <c r="E4" i="5"/>
  <c r="C8" i="5"/>
  <c r="B7" i="5"/>
  <c r="B4" i="5"/>
  <c r="D8" i="5"/>
  <c r="D7" i="5"/>
  <c r="B5" i="5"/>
  <c r="E8" i="5"/>
  <c r="B2" i="5"/>
  <c r="C5" i="5"/>
  <c r="B9" i="5"/>
  <c r="C2" i="5"/>
  <c r="D5" i="5"/>
  <c r="C9" i="5"/>
  <c r="D2" i="5"/>
  <c r="E5" i="5"/>
  <c r="D9" i="5"/>
  <c r="E2" i="5"/>
  <c r="E9" i="5"/>
  <c r="B6" i="5"/>
  <c r="B3" i="5"/>
  <c r="B12" i="5" l="1"/>
  <c r="A17" i="5" s="1"/>
  <c r="I5" i="2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<sst xmlns="http://schemas.openxmlformats.org/spreadsheetml/2006/main" count="232" uniqueCount="98">
  <si>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</si>
  <si>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</si>
  <si>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</si>
  <si>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</si>
  <si>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</si>
  <si>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</si>
  <si>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</si>
  <si>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</si>
  <si>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</si>
  <si>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</si>
  <si>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</si>
  <si>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</si>
  <si>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</si>
  <si>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</si>
  <si>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</si>
  <si>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</si>
  <si>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</si>
  <si>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</si>
  <si>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</si>
  <si>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</si>
  <si>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</si>
  <si>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</si>
  <si>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</si>
  <si>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</si>
  <si>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</si>
  <si>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</si>
  <si>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</si>
  <si>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</si>
  <si>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</si>
  <si>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</si>
  <si>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</si>
  <si>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</si>
  <si>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</si>
  <si>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</si>
  <si>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</si>
  <si>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</si>
  <si>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</si>
  <si>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</si>
  <si>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</si>
  <si>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</si>
  <si>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</si>
  <si>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</si>
  <si>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</si>
  <si>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</si>
  <si>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</si>
  <si>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</si>
  <si>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</si>
  <si>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</si>
  <si>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</si>
  <si>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</si>
  <si>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</si>
  <si>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</si>
  <si>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</si>
  <si>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</si>
  <si>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</si>
  <si>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</si>
  <si>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</si>
  <si>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</si>
  <si>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</si>
  <si>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</si>
  <si>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</si>
  <si>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</si>
  <si>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</si>
  <si>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</si>
  <si>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</si>
  <si>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</si>
  <si>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</si>
  <si>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</si>
  <si>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</si>
  <si>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</si>
  <si>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</si>
  <si>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</si>
  <si>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</si>
  <si>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</si>
  <si>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</si>
  <si>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</si>
  <si>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</si>
  <si>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</si>
  <si>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</si>
  <si>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</si>
  <si>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</si>
  <si>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</si>
  <si>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</si>
  <si>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</si>
  <si>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</si>
  <si>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</si>
  <si>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</si>
  <si>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</si>
  <si>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</si>
  <si>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</si>
  <si>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</si>
  <si>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</si>
  <si>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</si>
  <si>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</si>
  <si>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</si>
  <si>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Left</t>
  </si>
  <si>
    <t>Right</t>
  </si>
  <si>
    <t>Neymar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</si>
</sst>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1"/>
      <name val="Source Sans Pro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6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5"/>
      <color rgb="FF000000"/>
      <name val="Arial"/>
      <family val="2"/>
    </font>
    <font>
      <sz val="3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tabSelected="1" workbookViewId="0">
      <selection activeCell="B13" sqref="B13"/>
    </sheetView>
  </sheetViews>
  <sheetFormatPr defaultColWidth="12.6328125" defaultRowHeight="15" customHeight="1" x14ac:dyDescent="0.25"/>
  <cols>
    <col min="1" max="1" width="51.90625" customWidth="1"/>
    <col min="2" max="2" width="10.6328125" customWidth="1"/>
    <col min="3" max="3" width="13.90625" customWidth="1"/>
    <col min="4" max="26" width="10.632812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E3" sqref="D3:E4"/>
    </sheetView>
  </sheetViews>
  <sheetFormatPr defaultColWidth="12.6328125" defaultRowHeight="15" customHeight="1" x14ac:dyDescent="0.25"/>
  <cols>
    <col min="1" max="1" width="13" customWidth="1"/>
    <col min="2" max="3" width="14.9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95</v>
      </c>
      <c r="E1" s="14" t="s">
        <v>96</v>
      </c>
      <c r="F1" s="15" t="s">
        <v>30</v>
      </c>
      <c r="H1" s="32" t="s">
        <v>31</v>
      </c>
      <c r="I1" s="33"/>
    </row>
    <row r="2" spans="1:9" ht="15.75" customHeight="1" x14ac:dyDescent="0.45">
      <c r="A2" s="14">
        <v>1</v>
      </c>
      <c r="B2" s="16" t="s">
        <v>32</v>
      </c>
      <c r="C2" s="16" t="s">
        <v>33</v>
      </c>
      <c r="D2" s="17">
        <v>0</v>
      </c>
      <c r="E2" s="17">
        <v>2</v>
      </c>
      <c r="F2" s="18" t="str">
        <f t="shared" ref="F2:F49" si="0">IF(D2&gt;E2,"H",IF(D2&lt;E2,"A","D"))</f>
        <v>A</v>
      </c>
      <c r="H2" s="19" t="s">
        <v>28</v>
      </c>
      <c r="I2" s="19">
        <f>COUNTIF(F2:F49,"H")</f>
        <v>25</v>
      </c>
    </row>
    <row r="3" spans="1:9" ht="15.75" customHeight="1" x14ac:dyDescent="0.45">
      <c r="A3" s="14">
        <v>2</v>
      </c>
      <c r="B3" s="16" t="s">
        <v>34</v>
      </c>
      <c r="C3" s="16" t="s">
        <v>35</v>
      </c>
      <c r="D3" s="17">
        <v>3</v>
      </c>
      <c r="E3" s="17">
        <v>1</v>
      </c>
      <c r="F3" s="18" t="str">
        <f t="shared" si="0"/>
        <v>H</v>
      </c>
      <c r="H3" s="19" t="s">
        <v>29</v>
      </c>
      <c r="I3" s="19">
        <f>COUNTIF(F2:F49,"A")</f>
        <v>20</v>
      </c>
    </row>
    <row r="4" spans="1:9" ht="15.75" customHeight="1" x14ac:dyDescent="0.45">
      <c r="A4" s="14">
        <v>3</v>
      </c>
      <c r="B4" s="16" t="s">
        <v>36</v>
      </c>
      <c r="C4" s="16" t="s">
        <v>37</v>
      </c>
      <c r="D4" s="17">
        <v>2</v>
      </c>
      <c r="E4" s="17">
        <v>1</v>
      </c>
      <c r="F4" s="18" t="str">
        <f t="shared" si="0"/>
        <v>H</v>
      </c>
      <c r="H4" s="19" t="s">
        <v>38</v>
      </c>
      <c r="I4" s="19">
        <f>COUNTIF(F2:F49,"D")</f>
        <v>3</v>
      </c>
    </row>
    <row r="5" spans="1:9" ht="15.75" customHeight="1" x14ac:dyDescent="0.45">
      <c r="A5" s="14">
        <v>4</v>
      </c>
      <c r="B5" s="16" t="s">
        <v>39</v>
      </c>
      <c r="C5" s="16" t="s">
        <v>40</v>
      </c>
      <c r="D5" s="17">
        <v>3</v>
      </c>
      <c r="E5" s="17">
        <v>1</v>
      </c>
      <c r="F5" s="18" t="str">
        <f t="shared" si="0"/>
        <v>H</v>
      </c>
      <c r="H5" s="20" t="s">
        <v>20</v>
      </c>
      <c r="I5" s="20">
        <f>SUM(I2:I4)</f>
        <v>48</v>
      </c>
    </row>
    <row r="6" spans="1:9" ht="15.75" customHeight="1" x14ac:dyDescent="0.45">
      <c r="A6" s="14">
        <v>5</v>
      </c>
      <c r="B6" s="16" t="s">
        <v>41</v>
      </c>
      <c r="C6" s="16" t="s">
        <v>42</v>
      </c>
      <c r="D6" s="17">
        <v>4</v>
      </c>
      <c r="E6" s="17">
        <v>1</v>
      </c>
      <c r="F6" s="18" t="str">
        <f t="shared" si="0"/>
        <v>H</v>
      </c>
    </row>
    <row r="7" spans="1:9" ht="15.75" customHeight="1" x14ac:dyDescent="0.45">
      <c r="A7" s="14">
        <v>6</v>
      </c>
      <c r="B7" s="16" t="s">
        <v>43</v>
      </c>
      <c r="C7" s="16" t="s">
        <v>44</v>
      </c>
      <c r="D7" s="17">
        <v>2</v>
      </c>
      <c r="E7" s="17">
        <v>0</v>
      </c>
      <c r="F7" s="18" t="str">
        <f t="shared" si="0"/>
        <v>H</v>
      </c>
    </row>
    <row r="8" spans="1:9" ht="15.75" customHeight="1" x14ac:dyDescent="0.45">
      <c r="A8" s="14">
        <v>7</v>
      </c>
      <c r="B8" s="16" t="s">
        <v>45</v>
      </c>
      <c r="C8" s="16" t="s">
        <v>46</v>
      </c>
      <c r="D8" s="17">
        <v>1</v>
      </c>
      <c r="E8" s="17">
        <v>1</v>
      </c>
      <c r="F8" s="18" t="str">
        <f t="shared" si="0"/>
        <v>D</v>
      </c>
    </row>
    <row r="9" spans="1:9" ht="15.75" customHeight="1" x14ac:dyDescent="0.45">
      <c r="A9" s="14">
        <v>8</v>
      </c>
      <c r="B9" s="16" t="s">
        <v>47</v>
      </c>
      <c r="C9" s="16" t="s">
        <v>48</v>
      </c>
      <c r="D9" s="17">
        <v>2</v>
      </c>
      <c r="E9" s="17">
        <v>1</v>
      </c>
      <c r="F9" s="18" t="str">
        <f t="shared" si="0"/>
        <v>H</v>
      </c>
    </row>
    <row r="10" spans="1:9" ht="15.75" customHeight="1" x14ac:dyDescent="0.45">
      <c r="A10" s="14">
        <v>9</v>
      </c>
      <c r="B10" s="16" t="s">
        <v>49</v>
      </c>
      <c r="C10" s="16" t="s">
        <v>50</v>
      </c>
      <c r="D10" s="17">
        <v>1</v>
      </c>
      <c r="E10" s="17">
        <v>3</v>
      </c>
      <c r="F10" s="18" t="str">
        <f t="shared" si="0"/>
        <v>A</v>
      </c>
    </row>
    <row r="11" spans="1:9" ht="15.75" customHeight="1" x14ac:dyDescent="0.45">
      <c r="A11" s="14">
        <v>10</v>
      </c>
      <c r="B11" s="21" t="s">
        <v>51</v>
      </c>
      <c r="C11" s="16" t="s">
        <v>52</v>
      </c>
      <c r="D11" s="17">
        <v>1</v>
      </c>
      <c r="E11" s="17">
        <v>2</v>
      </c>
      <c r="F11" s="18" t="str">
        <f t="shared" si="0"/>
        <v>A</v>
      </c>
    </row>
    <row r="12" spans="1:9" ht="15.75" customHeight="1" x14ac:dyDescent="0.45">
      <c r="A12" s="14">
        <v>11</v>
      </c>
      <c r="B12" s="16" t="s">
        <v>53</v>
      </c>
      <c r="C12" s="16" t="s">
        <v>54</v>
      </c>
      <c r="D12" s="17">
        <v>3</v>
      </c>
      <c r="E12" s="17">
        <v>0</v>
      </c>
      <c r="F12" s="18" t="str">
        <f t="shared" si="0"/>
        <v>H</v>
      </c>
    </row>
    <row r="13" spans="1:9" ht="15.75" customHeight="1" x14ac:dyDescent="0.45">
      <c r="A13" s="14">
        <v>12</v>
      </c>
      <c r="B13" s="16" t="s">
        <v>55</v>
      </c>
      <c r="C13" s="16" t="s">
        <v>56</v>
      </c>
      <c r="D13" s="17">
        <v>1</v>
      </c>
      <c r="E13" s="17">
        <v>2</v>
      </c>
      <c r="F13" s="18" t="str">
        <f t="shared" si="0"/>
        <v>A</v>
      </c>
    </row>
    <row r="14" spans="1:9" ht="15.75" customHeight="1" x14ac:dyDescent="0.45">
      <c r="A14" s="14">
        <v>13</v>
      </c>
      <c r="B14" s="16" t="s">
        <v>57</v>
      </c>
      <c r="C14" s="16" t="s">
        <v>58</v>
      </c>
      <c r="D14" s="17">
        <v>2</v>
      </c>
      <c r="E14" s="17">
        <v>1</v>
      </c>
      <c r="F14" s="18" t="str">
        <f t="shared" si="0"/>
        <v>H</v>
      </c>
    </row>
    <row r="15" spans="1:9" ht="15.75" customHeight="1" x14ac:dyDescent="0.45">
      <c r="A15" s="14">
        <v>14</v>
      </c>
      <c r="B15" s="16" t="s">
        <v>59</v>
      </c>
      <c r="C15" s="16" t="s">
        <v>60</v>
      </c>
      <c r="D15" s="17">
        <v>2</v>
      </c>
      <c r="E15" s="17">
        <v>1</v>
      </c>
      <c r="F15" s="18" t="str">
        <f t="shared" si="0"/>
        <v>H</v>
      </c>
    </row>
    <row r="16" spans="1:9" ht="15.75" customHeight="1" x14ac:dyDescent="0.45">
      <c r="A16" s="14">
        <v>15</v>
      </c>
      <c r="B16" s="16" t="s">
        <v>61</v>
      </c>
      <c r="C16" s="16" t="s">
        <v>62</v>
      </c>
      <c r="D16" s="17">
        <v>3</v>
      </c>
      <c r="E16" s="17">
        <v>1</v>
      </c>
      <c r="F16" s="18" t="str">
        <f t="shared" si="0"/>
        <v>H</v>
      </c>
    </row>
    <row r="17" spans="1:6" ht="15.75" customHeight="1" x14ac:dyDescent="0.45">
      <c r="A17" s="14">
        <v>16</v>
      </c>
      <c r="B17" s="16" t="s">
        <v>63</v>
      </c>
      <c r="C17" s="16" t="s">
        <v>64</v>
      </c>
      <c r="D17" s="17">
        <v>3</v>
      </c>
      <c r="E17" s="17">
        <v>0</v>
      </c>
      <c r="F17" s="18" t="str">
        <f t="shared" si="0"/>
        <v>H</v>
      </c>
    </row>
    <row r="18" spans="1:6" ht="15.75" customHeight="1" x14ac:dyDescent="0.45">
      <c r="A18" s="14">
        <v>17</v>
      </c>
      <c r="B18" s="16" t="s">
        <v>40</v>
      </c>
      <c r="C18" s="16" t="s">
        <v>35</v>
      </c>
      <c r="D18" s="17">
        <v>2</v>
      </c>
      <c r="E18" s="17">
        <v>1</v>
      </c>
      <c r="F18" s="18" t="str">
        <f t="shared" si="0"/>
        <v>H</v>
      </c>
    </row>
    <row r="19" spans="1:6" ht="15.75" customHeight="1" x14ac:dyDescent="0.45">
      <c r="A19" s="14">
        <v>18</v>
      </c>
      <c r="B19" s="16" t="s">
        <v>32</v>
      </c>
      <c r="C19" s="16" t="s">
        <v>36</v>
      </c>
      <c r="D19" s="17">
        <v>2</v>
      </c>
      <c r="E19" s="17">
        <v>1</v>
      </c>
      <c r="F19" s="18" t="str">
        <f t="shared" si="0"/>
        <v>H</v>
      </c>
    </row>
    <row r="20" spans="1:6" ht="15.75" customHeight="1" x14ac:dyDescent="0.45">
      <c r="A20" s="14">
        <v>19</v>
      </c>
      <c r="B20" s="16" t="s">
        <v>37</v>
      </c>
      <c r="C20" s="16" t="s">
        <v>33</v>
      </c>
      <c r="D20" s="17">
        <v>2</v>
      </c>
      <c r="E20" s="17">
        <v>3</v>
      </c>
      <c r="F20" s="18" t="str">
        <f t="shared" si="0"/>
        <v>A</v>
      </c>
    </row>
    <row r="21" spans="1:6" ht="15.75" customHeight="1" x14ac:dyDescent="0.45">
      <c r="A21" s="14">
        <v>20</v>
      </c>
      <c r="B21" s="16" t="s">
        <v>34</v>
      </c>
      <c r="C21" s="16" t="s">
        <v>39</v>
      </c>
      <c r="D21" s="17">
        <v>4</v>
      </c>
      <c r="E21" s="17">
        <v>2</v>
      </c>
      <c r="F21" s="18" t="str">
        <f t="shared" si="0"/>
        <v>H</v>
      </c>
    </row>
    <row r="22" spans="1:6" ht="15.75" customHeight="1" x14ac:dyDescent="0.45">
      <c r="A22" s="14">
        <v>21</v>
      </c>
      <c r="B22" s="16" t="s">
        <v>44</v>
      </c>
      <c r="C22" s="21" t="s">
        <v>48</v>
      </c>
      <c r="D22" s="17">
        <v>1</v>
      </c>
      <c r="E22" s="17">
        <v>2</v>
      </c>
      <c r="F22" s="18" t="str">
        <f t="shared" si="0"/>
        <v>A</v>
      </c>
    </row>
    <row r="23" spans="1:6" ht="15.75" customHeight="1" x14ac:dyDescent="0.45">
      <c r="A23" s="14">
        <v>22</v>
      </c>
      <c r="B23" s="16" t="s">
        <v>46</v>
      </c>
      <c r="C23" s="16" t="s">
        <v>42</v>
      </c>
      <c r="D23" s="17">
        <v>2</v>
      </c>
      <c r="E23" s="17">
        <v>1</v>
      </c>
      <c r="F23" s="18" t="str">
        <f t="shared" si="0"/>
        <v>H</v>
      </c>
    </row>
    <row r="24" spans="1:6" ht="15.75" customHeight="1" x14ac:dyDescent="0.45">
      <c r="A24" s="14">
        <v>23</v>
      </c>
      <c r="B24" s="16" t="s">
        <v>47</v>
      </c>
      <c r="C24" s="16" t="s">
        <v>43</v>
      </c>
      <c r="D24" s="17">
        <v>3</v>
      </c>
      <c r="E24" s="17">
        <v>2</v>
      </c>
      <c r="F24" s="18" t="str">
        <f t="shared" si="0"/>
        <v>H</v>
      </c>
    </row>
    <row r="25" spans="1:6" ht="15.75" customHeight="1" x14ac:dyDescent="0.45">
      <c r="A25" s="14">
        <v>24</v>
      </c>
      <c r="B25" s="16" t="s">
        <v>41</v>
      </c>
      <c r="C25" s="16" t="s">
        <v>45</v>
      </c>
      <c r="D25" s="17">
        <v>2</v>
      </c>
      <c r="E25" s="17">
        <v>1</v>
      </c>
      <c r="F25" s="18" t="str">
        <f t="shared" si="0"/>
        <v>H</v>
      </c>
    </row>
    <row r="26" spans="1:6" ht="15.75" customHeight="1" x14ac:dyDescent="0.45">
      <c r="A26" s="14">
        <v>25</v>
      </c>
      <c r="B26" s="16" t="s">
        <v>52</v>
      </c>
      <c r="C26" s="16" t="s">
        <v>54</v>
      </c>
      <c r="D26" s="17">
        <v>2</v>
      </c>
      <c r="E26" s="17">
        <v>1</v>
      </c>
      <c r="F26" s="18" t="str">
        <f t="shared" si="0"/>
        <v>H</v>
      </c>
    </row>
    <row r="27" spans="1:6" ht="15.75" customHeight="1" x14ac:dyDescent="0.45">
      <c r="A27" s="14">
        <v>26</v>
      </c>
      <c r="B27" s="16" t="s">
        <v>55</v>
      </c>
      <c r="C27" s="16" t="s">
        <v>49</v>
      </c>
      <c r="D27" s="17">
        <v>2</v>
      </c>
      <c r="E27" s="17">
        <v>1</v>
      </c>
      <c r="F27" s="18" t="str">
        <f t="shared" si="0"/>
        <v>H</v>
      </c>
    </row>
    <row r="28" spans="1:6" ht="15.75" customHeight="1" x14ac:dyDescent="0.45">
      <c r="A28" s="14">
        <v>27</v>
      </c>
      <c r="B28" s="16" t="s">
        <v>50</v>
      </c>
      <c r="C28" s="16" t="s">
        <v>56</v>
      </c>
      <c r="D28" s="17">
        <v>1</v>
      </c>
      <c r="E28" s="17">
        <v>2</v>
      </c>
      <c r="F28" s="18" t="str">
        <f t="shared" si="0"/>
        <v>A</v>
      </c>
    </row>
    <row r="29" spans="1:6" ht="15.75" customHeight="1" x14ac:dyDescent="0.45">
      <c r="A29" s="14">
        <v>28</v>
      </c>
      <c r="B29" s="16" t="s">
        <v>53</v>
      </c>
      <c r="C29" s="16" t="s">
        <v>51</v>
      </c>
      <c r="D29" s="17">
        <v>2</v>
      </c>
      <c r="E29" s="17">
        <v>1</v>
      </c>
      <c r="F29" s="18" t="str">
        <f t="shared" si="0"/>
        <v>H</v>
      </c>
    </row>
    <row r="30" spans="1:6" ht="15.75" customHeight="1" x14ac:dyDescent="0.45">
      <c r="A30" s="14">
        <v>29</v>
      </c>
      <c r="B30" s="16" t="s">
        <v>58</v>
      </c>
      <c r="C30" s="16" t="s">
        <v>64</v>
      </c>
      <c r="D30" s="17">
        <v>0</v>
      </c>
      <c r="E30" s="17">
        <v>1</v>
      </c>
      <c r="F30" s="18" t="str">
        <f t="shared" si="0"/>
        <v>A</v>
      </c>
    </row>
    <row r="31" spans="1:6" ht="15.75" customHeight="1" x14ac:dyDescent="0.45">
      <c r="A31" s="14">
        <v>30</v>
      </c>
      <c r="B31" s="16" t="s">
        <v>60</v>
      </c>
      <c r="C31" s="16" t="s">
        <v>62</v>
      </c>
      <c r="D31" s="17">
        <v>1</v>
      </c>
      <c r="E31" s="17">
        <v>1</v>
      </c>
      <c r="F31" s="18" t="str">
        <f t="shared" si="0"/>
        <v>D</v>
      </c>
    </row>
    <row r="32" spans="1:6" ht="15.75" customHeight="1" x14ac:dyDescent="0.45">
      <c r="A32" s="14">
        <v>31</v>
      </c>
      <c r="B32" s="16" t="s">
        <v>63</v>
      </c>
      <c r="C32" s="16" t="s">
        <v>57</v>
      </c>
      <c r="D32" s="17">
        <v>2</v>
      </c>
      <c r="E32" s="17">
        <v>1</v>
      </c>
      <c r="F32" s="18" t="str">
        <f t="shared" si="0"/>
        <v>H</v>
      </c>
    </row>
    <row r="33" spans="1:6" ht="15.75" customHeight="1" x14ac:dyDescent="0.45">
      <c r="A33" s="14">
        <v>32</v>
      </c>
      <c r="B33" s="16" t="s">
        <v>61</v>
      </c>
      <c r="C33" s="16" t="s">
        <v>59</v>
      </c>
      <c r="D33" s="17">
        <v>2</v>
      </c>
      <c r="E33" s="17">
        <v>1</v>
      </c>
      <c r="F33" s="18" t="str">
        <f t="shared" si="0"/>
        <v>H</v>
      </c>
    </row>
    <row r="34" spans="1:6" ht="15.75" customHeight="1" x14ac:dyDescent="0.45">
      <c r="A34" s="14">
        <v>33</v>
      </c>
      <c r="B34" s="16" t="s">
        <v>33</v>
      </c>
      <c r="C34" s="16" t="s">
        <v>36</v>
      </c>
      <c r="D34" s="17">
        <v>2</v>
      </c>
      <c r="E34" s="17">
        <v>1</v>
      </c>
      <c r="F34" s="18" t="str">
        <f t="shared" si="0"/>
        <v>H</v>
      </c>
    </row>
    <row r="35" spans="1:6" ht="15.75" customHeight="1" x14ac:dyDescent="0.45">
      <c r="A35" s="14">
        <v>34</v>
      </c>
      <c r="B35" s="16" t="s">
        <v>37</v>
      </c>
      <c r="C35" s="16" t="s">
        <v>32</v>
      </c>
      <c r="D35" s="17">
        <v>1</v>
      </c>
      <c r="E35" s="17">
        <v>2</v>
      </c>
      <c r="F35" s="18" t="str">
        <f t="shared" si="0"/>
        <v>A</v>
      </c>
    </row>
    <row r="36" spans="1:6" ht="15.75" customHeight="1" x14ac:dyDescent="0.45">
      <c r="A36" s="14">
        <v>35</v>
      </c>
      <c r="B36" s="16" t="s">
        <v>35</v>
      </c>
      <c r="C36" s="16" t="s">
        <v>39</v>
      </c>
      <c r="D36" s="17">
        <v>0</v>
      </c>
      <c r="E36" s="17">
        <v>2</v>
      </c>
      <c r="F36" s="18" t="str">
        <f t="shared" si="0"/>
        <v>A</v>
      </c>
    </row>
    <row r="37" spans="1:6" ht="15.75" customHeight="1" x14ac:dyDescent="0.45">
      <c r="A37" s="14">
        <v>36</v>
      </c>
      <c r="B37" s="16" t="s">
        <v>40</v>
      </c>
      <c r="C37" s="16" t="s">
        <v>34</v>
      </c>
      <c r="D37" s="17">
        <v>2</v>
      </c>
      <c r="E37" s="17">
        <v>3</v>
      </c>
      <c r="F37" s="18" t="str">
        <f t="shared" si="0"/>
        <v>A</v>
      </c>
    </row>
    <row r="38" spans="1:6" ht="15.75" customHeight="1" x14ac:dyDescent="0.45">
      <c r="A38" s="14">
        <v>37</v>
      </c>
      <c r="B38" s="16" t="s">
        <v>44</v>
      </c>
      <c r="C38" s="16" t="s">
        <v>47</v>
      </c>
      <c r="D38" s="17">
        <v>1</v>
      </c>
      <c r="E38" s="17">
        <v>2</v>
      </c>
      <c r="F38" s="18" t="str">
        <f t="shared" si="0"/>
        <v>A</v>
      </c>
    </row>
    <row r="39" spans="1:6" ht="15.75" customHeight="1" x14ac:dyDescent="0.45">
      <c r="A39" s="14">
        <v>38</v>
      </c>
      <c r="B39" s="16" t="s">
        <v>48</v>
      </c>
      <c r="C39" s="16" t="s">
        <v>43</v>
      </c>
      <c r="D39" s="17">
        <v>2</v>
      </c>
      <c r="E39" s="17">
        <v>1</v>
      </c>
      <c r="F39" s="18" t="str">
        <f t="shared" si="0"/>
        <v>H</v>
      </c>
    </row>
    <row r="40" spans="1:6" ht="15.75" customHeight="1" x14ac:dyDescent="0.45">
      <c r="A40" s="14">
        <v>39</v>
      </c>
      <c r="B40" s="16" t="s">
        <v>46</v>
      </c>
      <c r="C40" s="16" t="s">
        <v>41</v>
      </c>
      <c r="D40" s="17">
        <v>0</v>
      </c>
      <c r="E40" s="17">
        <v>2</v>
      </c>
      <c r="F40" s="18" t="str">
        <f t="shared" si="0"/>
        <v>A</v>
      </c>
    </row>
    <row r="41" spans="1:6" ht="15.75" customHeight="1" x14ac:dyDescent="0.45">
      <c r="A41" s="14">
        <v>40</v>
      </c>
      <c r="B41" s="16" t="s">
        <v>42</v>
      </c>
      <c r="C41" s="16" t="s">
        <v>45</v>
      </c>
      <c r="D41" s="17">
        <v>0</v>
      </c>
      <c r="E41" s="17">
        <v>1</v>
      </c>
      <c r="F41" s="18" t="str">
        <f t="shared" si="0"/>
        <v>A</v>
      </c>
    </row>
    <row r="42" spans="1:6" ht="15.75" customHeight="1" x14ac:dyDescent="0.45">
      <c r="A42" s="14">
        <v>41</v>
      </c>
      <c r="B42" s="16" t="s">
        <v>50</v>
      </c>
      <c r="C42" s="16" t="s">
        <v>55</v>
      </c>
      <c r="D42" s="17">
        <v>1</v>
      </c>
      <c r="E42" s="17">
        <v>2</v>
      </c>
      <c r="F42" s="18" t="str">
        <f t="shared" si="0"/>
        <v>A</v>
      </c>
    </row>
    <row r="43" spans="1:6" ht="15.75" customHeight="1" x14ac:dyDescent="0.45">
      <c r="A43" s="14">
        <v>42</v>
      </c>
      <c r="B43" s="16" t="s">
        <v>56</v>
      </c>
      <c r="C43" s="16" t="s">
        <v>49</v>
      </c>
      <c r="D43" s="17">
        <v>1</v>
      </c>
      <c r="E43" s="17">
        <v>2</v>
      </c>
      <c r="F43" s="18" t="str">
        <f t="shared" si="0"/>
        <v>A</v>
      </c>
    </row>
    <row r="44" spans="1:6" ht="15.75" customHeight="1" x14ac:dyDescent="0.45">
      <c r="A44" s="14">
        <v>43</v>
      </c>
      <c r="B44" s="16" t="s">
        <v>52</v>
      </c>
      <c r="C44" s="16" t="s">
        <v>53</v>
      </c>
      <c r="D44" s="17">
        <v>1</v>
      </c>
      <c r="E44" s="17">
        <v>3</v>
      </c>
      <c r="F44" s="18" t="str">
        <f t="shared" si="0"/>
        <v>A</v>
      </c>
    </row>
    <row r="45" spans="1:6" ht="15.75" customHeight="1" x14ac:dyDescent="0.45">
      <c r="A45" s="14">
        <v>44</v>
      </c>
      <c r="B45" s="16" t="s">
        <v>54</v>
      </c>
      <c r="C45" s="16" t="s">
        <v>51</v>
      </c>
      <c r="D45" s="17">
        <v>2</v>
      </c>
      <c r="E45" s="17">
        <v>1</v>
      </c>
      <c r="F45" s="18" t="str">
        <f t="shared" si="0"/>
        <v>H</v>
      </c>
    </row>
    <row r="46" spans="1:6" ht="15.75" customHeight="1" x14ac:dyDescent="0.45">
      <c r="A46" s="14">
        <v>45</v>
      </c>
      <c r="B46" s="16" t="s">
        <v>60</v>
      </c>
      <c r="C46" s="16" t="s">
        <v>61</v>
      </c>
      <c r="D46" s="17">
        <v>1</v>
      </c>
      <c r="E46" s="17">
        <v>3</v>
      </c>
      <c r="F46" s="18" t="str">
        <f t="shared" si="0"/>
        <v>A</v>
      </c>
    </row>
    <row r="47" spans="1:6" ht="15.75" customHeight="1" x14ac:dyDescent="0.45">
      <c r="A47" s="14">
        <v>46</v>
      </c>
      <c r="B47" s="16" t="s">
        <v>62</v>
      </c>
      <c r="C47" s="16" t="s">
        <v>59</v>
      </c>
      <c r="D47" s="17">
        <v>1</v>
      </c>
      <c r="E47" s="17">
        <v>1</v>
      </c>
      <c r="F47" s="18" t="str">
        <f t="shared" si="0"/>
        <v>D</v>
      </c>
    </row>
    <row r="48" spans="1:6" ht="15.75" customHeight="1" x14ac:dyDescent="0.45">
      <c r="A48" s="14">
        <v>47</v>
      </c>
      <c r="B48" s="16" t="s">
        <v>64</v>
      </c>
      <c r="C48" s="16" t="s">
        <v>57</v>
      </c>
      <c r="D48" s="17">
        <v>0</v>
      </c>
      <c r="E48" s="17">
        <v>2</v>
      </c>
      <c r="F48" s="18" t="str">
        <f t="shared" si="0"/>
        <v>A</v>
      </c>
    </row>
    <row r="49" spans="1:6" ht="15.75" customHeight="1" x14ac:dyDescent="0.45">
      <c r="A49" s="14">
        <v>48</v>
      </c>
      <c r="B49" s="16" t="s">
        <v>58</v>
      </c>
      <c r="C49" s="16" t="s">
        <v>63</v>
      </c>
      <c r="D49" s="17">
        <v>1</v>
      </c>
      <c r="E49" s="17">
        <v>2</v>
      </c>
      <c r="F49" s="18" t="str">
        <f t="shared" si="0"/>
        <v>A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workbookViewId="0">
      <pane ySplit="1" topLeftCell="A2" activePane="bottomLeft" state="frozen"/>
      <selection pane="bottomLeft" activeCell="H6" sqref="H6"/>
    </sheetView>
  </sheetViews>
  <sheetFormatPr defaultColWidth="12.6328125" defaultRowHeight="15" customHeight="1" x14ac:dyDescent="0.25"/>
  <cols>
    <col min="1" max="1" width="14.90625" customWidth="1"/>
    <col min="2" max="2" width="14.90625" hidden="1" customWidth="1"/>
    <col min="3" max="3" width="21.90625" customWidth="1"/>
    <col min="4" max="9" width="20.08984375" customWidth="1"/>
    <col min="10" max="26" width="14.453125" customWidth="1"/>
  </cols>
  <sheetData>
    <row r="1" spans="1:9" ht="15.75" customHeight="1" x14ac:dyDescent="0.45">
      <c r="A1" s="14" t="s">
        <v>65</v>
      </c>
      <c r="B1" s="14" t="s">
        <v>66</v>
      </c>
      <c r="C1" s="14" t="s">
        <v>67</v>
      </c>
      <c r="D1" s="14" t="s">
        <v>68</v>
      </c>
      <c r="E1" s="14" t="s">
        <v>69</v>
      </c>
      <c r="F1" s="14" t="s">
        <v>70</v>
      </c>
      <c r="G1" s="14" t="s">
        <v>71</v>
      </c>
      <c r="H1" s="14" t="s">
        <v>72</v>
      </c>
      <c r="I1" s="14" t="s">
        <v>73</v>
      </c>
    </row>
    <row r="2" spans="1:9" ht="15.75" customHeight="1" x14ac:dyDescent="0.45">
      <c r="A2" s="15" t="s">
        <v>32</v>
      </c>
      <c r="B2" s="14" t="str">
        <f t="shared" ref="B2:B33" si="0">C2&amp;D2</f>
        <v>A4</v>
      </c>
      <c r="C2" s="14" t="s">
        <v>74</v>
      </c>
      <c r="D2" s="22">
        <v>4</v>
      </c>
      <c r="E2" s="23" t="str">
        <f t="shared" ref="E2:E33" si="1">IF(D2&lt;3,1,"")</f>
        <v/>
      </c>
      <c r="F2" s="22"/>
      <c r="G2" s="22"/>
      <c r="H2" s="22"/>
      <c r="I2" s="22"/>
    </row>
    <row r="3" spans="1:9" ht="15.75" customHeight="1" x14ac:dyDescent="0.45">
      <c r="A3" s="15" t="s">
        <v>33</v>
      </c>
      <c r="B3" s="14" t="str">
        <f t="shared" si="0"/>
        <v>A3</v>
      </c>
      <c r="C3" s="14" t="s">
        <v>74</v>
      </c>
      <c r="D3" s="22">
        <v>3</v>
      </c>
      <c r="E3" s="23" t="str">
        <f t="shared" si="1"/>
        <v/>
      </c>
      <c r="F3" s="22"/>
      <c r="G3" s="22"/>
      <c r="H3" s="22"/>
      <c r="I3" s="22"/>
    </row>
    <row r="4" spans="1:9" ht="15.75" customHeight="1" x14ac:dyDescent="0.45">
      <c r="A4" s="15" t="s">
        <v>36</v>
      </c>
      <c r="B4" s="14" t="str">
        <f t="shared" si="0"/>
        <v>A2</v>
      </c>
      <c r="C4" s="14" t="s">
        <v>74</v>
      </c>
      <c r="D4" s="22">
        <v>2</v>
      </c>
      <c r="E4" s="23">
        <f t="shared" si="1"/>
        <v>1</v>
      </c>
      <c r="F4" s="22"/>
      <c r="G4" s="22"/>
      <c r="H4" s="22"/>
      <c r="I4" s="22"/>
    </row>
    <row r="5" spans="1:9" ht="15.75" customHeight="1" x14ac:dyDescent="0.45">
      <c r="A5" s="15" t="s">
        <v>37</v>
      </c>
      <c r="B5" s="14" t="str">
        <f t="shared" si="0"/>
        <v>A1</v>
      </c>
      <c r="C5" s="14" t="s">
        <v>74</v>
      </c>
      <c r="D5" s="22">
        <v>1</v>
      </c>
      <c r="E5" s="23">
        <f t="shared" si="1"/>
        <v>1</v>
      </c>
      <c r="F5" s="22"/>
      <c r="G5" s="22"/>
      <c r="H5" s="22"/>
      <c r="I5" s="22"/>
    </row>
    <row r="6" spans="1:9" ht="15.75" customHeight="1" x14ac:dyDescent="0.45">
      <c r="A6" s="15" t="s">
        <v>34</v>
      </c>
      <c r="B6" s="14" t="str">
        <f t="shared" si="0"/>
        <v>B1</v>
      </c>
      <c r="C6" s="14" t="s">
        <v>75</v>
      </c>
      <c r="D6" s="22">
        <v>1</v>
      </c>
      <c r="E6" s="23">
        <f t="shared" si="1"/>
        <v>1</v>
      </c>
      <c r="F6" s="22">
        <v>1</v>
      </c>
      <c r="G6" s="22">
        <v>1</v>
      </c>
      <c r="H6" s="22">
        <v>1</v>
      </c>
      <c r="I6" s="22"/>
    </row>
    <row r="7" spans="1:9" ht="15.75" customHeight="1" x14ac:dyDescent="0.45">
      <c r="A7" s="15" t="s">
        <v>35</v>
      </c>
      <c r="B7" s="14" t="str">
        <f t="shared" si="0"/>
        <v>B4</v>
      </c>
      <c r="C7" s="14" t="s">
        <v>75</v>
      </c>
      <c r="D7" s="22">
        <v>4</v>
      </c>
      <c r="E7" s="23" t="str">
        <f t="shared" si="1"/>
        <v/>
      </c>
      <c r="F7" s="22"/>
      <c r="G7" s="22"/>
      <c r="H7" s="22"/>
      <c r="I7" s="22"/>
    </row>
    <row r="8" spans="1:9" ht="15.75" customHeight="1" x14ac:dyDescent="0.45">
      <c r="A8" s="15" t="s">
        <v>39</v>
      </c>
      <c r="B8" s="14" t="str">
        <f t="shared" si="0"/>
        <v>B3</v>
      </c>
      <c r="C8" s="14" t="s">
        <v>75</v>
      </c>
      <c r="D8" s="22">
        <v>3</v>
      </c>
      <c r="E8" s="23" t="str">
        <f t="shared" si="1"/>
        <v/>
      </c>
      <c r="F8" s="22"/>
      <c r="G8" s="22"/>
      <c r="H8" s="22"/>
      <c r="I8" s="22"/>
    </row>
    <row r="9" spans="1:9" ht="15.75" customHeight="1" x14ac:dyDescent="0.45">
      <c r="A9" s="15" t="s">
        <v>40</v>
      </c>
      <c r="B9" s="14" t="str">
        <f t="shared" si="0"/>
        <v>B2</v>
      </c>
      <c r="C9" s="14" t="s">
        <v>75</v>
      </c>
      <c r="D9" s="22">
        <v>2</v>
      </c>
      <c r="E9" s="23">
        <f t="shared" si="1"/>
        <v>1</v>
      </c>
      <c r="F9" s="22"/>
      <c r="G9" s="22"/>
      <c r="H9" s="22"/>
      <c r="I9" s="22"/>
    </row>
    <row r="10" spans="1:9" ht="15.75" customHeight="1" x14ac:dyDescent="0.45">
      <c r="A10" s="15" t="s">
        <v>41</v>
      </c>
      <c r="B10" s="14" t="str">
        <f t="shared" si="0"/>
        <v>C1</v>
      </c>
      <c r="C10" s="14" t="s">
        <v>76</v>
      </c>
      <c r="D10" s="22">
        <v>1</v>
      </c>
      <c r="E10" s="23">
        <f t="shared" si="1"/>
        <v>1</v>
      </c>
      <c r="F10" s="22">
        <v>1</v>
      </c>
      <c r="G10" s="22">
        <v>1</v>
      </c>
      <c r="H10" s="22"/>
      <c r="I10" s="22"/>
    </row>
    <row r="11" spans="1:9" ht="15.75" customHeight="1" x14ac:dyDescent="0.45">
      <c r="A11" s="15" t="s">
        <v>42</v>
      </c>
      <c r="B11" s="14" t="str">
        <f t="shared" si="0"/>
        <v>C4</v>
      </c>
      <c r="C11" s="14" t="s">
        <v>76</v>
      </c>
      <c r="D11" s="22">
        <v>4</v>
      </c>
      <c r="E11" s="23" t="str">
        <f t="shared" si="1"/>
        <v/>
      </c>
      <c r="F11" s="22"/>
      <c r="G11" s="22"/>
      <c r="H11" s="22"/>
      <c r="I11" s="22"/>
    </row>
    <row r="12" spans="1:9" ht="15.75" customHeight="1" x14ac:dyDescent="0.45">
      <c r="A12" s="15" t="s">
        <v>45</v>
      </c>
      <c r="B12" s="14" t="str">
        <f t="shared" si="0"/>
        <v>C3</v>
      </c>
      <c r="C12" s="14" t="s">
        <v>76</v>
      </c>
      <c r="D12" s="22">
        <v>3</v>
      </c>
      <c r="E12" s="23" t="str">
        <f t="shared" si="1"/>
        <v/>
      </c>
      <c r="F12" s="22"/>
      <c r="G12" s="22"/>
      <c r="H12" s="22"/>
      <c r="I12" s="22"/>
    </row>
    <row r="13" spans="1:9" ht="15.75" customHeight="1" x14ac:dyDescent="0.45">
      <c r="A13" s="15" t="s">
        <v>46</v>
      </c>
      <c r="B13" s="14" t="str">
        <f t="shared" si="0"/>
        <v>C2</v>
      </c>
      <c r="C13" s="14" t="s">
        <v>76</v>
      </c>
      <c r="D13" s="22">
        <v>2</v>
      </c>
      <c r="E13" s="23">
        <f t="shared" si="1"/>
        <v>1</v>
      </c>
      <c r="F13" s="22"/>
      <c r="G13" s="22"/>
      <c r="H13" s="22"/>
      <c r="I13" s="22"/>
    </row>
    <row r="14" spans="1:9" ht="15.75" customHeight="1" x14ac:dyDescent="0.45">
      <c r="A14" s="15" t="s">
        <v>47</v>
      </c>
      <c r="B14" s="14" t="str">
        <f t="shared" si="0"/>
        <v>D1</v>
      </c>
      <c r="C14" s="14" t="s">
        <v>77</v>
      </c>
      <c r="D14" s="22">
        <v>1</v>
      </c>
      <c r="E14" s="23">
        <f t="shared" si="1"/>
        <v>1</v>
      </c>
      <c r="F14" s="22"/>
      <c r="G14" s="22"/>
      <c r="H14" s="22"/>
      <c r="I14" s="22"/>
    </row>
    <row r="15" spans="1:9" ht="15.75" customHeight="1" x14ac:dyDescent="0.45">
      <c r="A15" s="15" t="s">
        <v>48</v>
      </c>
      <c r="B15" s="14" t="str">
        <f t="shared" si="0"/>
        <v>D3</v>
      </c>
      <c r="C15" s="14" t="s">
        <v>77</v>
      </c>
      <c r="D15" s="22">
        <v>3</v>
      </c>
      <c r="E15" s="23" t="str">
        <f t="shared" si="1"/>
        <v/>
      </c>
      <c r="F15" s="22"/>
      <c r="G15" s="22"/>
      <c r="H15" s="22"/>
      <c r="I15" s="22"/>
    </row>
    <row r="16" spans="1:9" ht="15.75" customHeight="1" x14ac:dyDescent="0.45">
      <c r="A16" s="15" t="s">
        <v>43</v>
      </c>
      <c r="B16" s="14" t="str">
        <f t="shared" si="0"/>
        <v>D2</v>
      </c>
      <c r="C16" s="14" t="s">
        <v>77</v>
      </c>
      <c r="D16" s="22">
        <v>2</v>
      </c>
      <c r="E16" s="23">
        <f t="shared" si="1"/>
        <v>1</v>
      </c>
      <c r="F16" s="22">
        <v>1</v>
      </c>
      <c r="G16" s="22">
        <v>1</v>
      </c>
      <c r="H16" s="22"/>
      <c r="I16" s="22"/>
    </row>
    <row r="17" spans="1:9" ht="15.75" customHeight="1" x14ac:dyDescent="0.45">
      <c r="A17" s="15" t="s">
        <v>44</v>
      </c>
      <c r="B17" s="14" t="str">
        <f t="shared" si="0"/>
        <v>D4</v>
      </c>
      <c r="C17" s="14" t="s">
        <v>77</v>
      </c>
      <c r="D17" s="22">
        <v>4</v>
      </c>
      <c r="E17" s="23" t="str">
        <f t="shared" si="1"/>
        <v/>
      </c>
      <c r="F17" s="22"/>
      <c r="G17" s="22"/>
      <c r="H17" s="22"/>
      <c r="I17" s="22"/>
    </row>
    <row r="18" spans="1:9" ht="15.75" customHeight="1" x14ac:dyDescent="0.45">
      <c r="A18" s="15" t="s">
        <v>53</v>
      </c>
      <c r="B18" s="14" t="str">
        <f t="shared" si="0"/>
        <v>E1</v>
      </c>
      <c r="C18" s="14" t="s">
        <v>78</v>
      </c>
      <c r="D18" s="22">
        <v>1</v>
      </c>
      <c r="E18" s="23">
        <f t="shared" si="1"/>
        <v>1</v>
      </c>
      <c r="F18" s="22">
        <v>1</v>
      </c>
      <c r="G18" s="22"/>
      <c r="H18" s="22"/>
      <c r="I18" s="22"/>
    </row>
    <row r="19" spans="1:9" ht="15.75" customHeight="1" x14ac:dyDescent="0.45">
      <c r="A19" s="14" t="s">
        <v>54</v>
      </c>
      <c r="B19" s="14" t="str">
        <f t="shared" si="0"/>
        <v>E4</v>
      </c>
      <c r="C19" s="14" t="s">
        <v>78</v>
      </c>
      <c r="D19" s="22">
        <v>4</v>
      </c>
      <c r="E19" s="23" t="str">
        <f t="shared" si="1"/>
        <v/>
      </c>
      <c r="F19" s="22"/>
      <c r="G19" s="22"/>
      <c r="H19" s="22"/>
      <c r="I19" s="22"/>
    </row>
    <row r="20" spans="1:9" ht="15.75" customHeight="1" x14ac:dyDescent="0.45">
      <c r="A20" s="15" t="s">
        <v>51</v>
      </c>
      <c r="B20" s="14" t="str">
        <f t="shared" si="0"/>
        <v>E3</v>
      </c>
      <c r="C20" s="14" t="s">
        <v>78</v>
      </c>
      <c r="D20" s="22">
        <v>3</v>
      </c>
      <c r="E20" s="23" t="str">
        <f t="shared" si="1"/>
        <v/>
      </c>
      <c r="F20" s="22"/>
      <c r="G20" s="22"/>
      <c r="H20" s="22"/>
      <c r="I20" s="22"/>
    </row>
    <row r="21" spans="1:9" ht="15.75" customHeight="1" x14ac:dyDescent="0.45">
      <c r="A21" s="15" t="s">
        <v>52</v>
      </c>
      <c r="B21" s="14" t="str">
        <f t="shared" si="0"/>
        <v>E2</v>
      </c>
      <c r="C21" s="14" t="s">
        <v>78</v>
      </c>
      <c r="D21" s="22">
        <v>2</v>
      </c>
      <c r="E21" s="23">
        <f t="shared" si="1"/>
        <v>1</v>
      </c>
      <c r="F21" s="22">
        <v>1</v>
      </c>
      <c r="G21" s="22"/>
      <c r="H21" s="22"/>
      <c r="I21" s="22"/>
    </row>
    <row r="22" spans="1:9" ht="15.75" customHeight="1" x14ac:dyDescent="0.45">
      <c r="A22" s="15" t="s">
        <v>55</v>
      </c>
      <c r="B22" s="14" t="str">
        <f t="shared" si="0"/>
        <v>F2</v>
      </c>
      <c r="C22" s="14" t="s">
        <v>79</v>
      </c>
      <c r="D22" s="22">
        <v>2</v>
      </c>
      <c r="E22" s="23">
        <f t="shared" si="1"/>
        <v>1</v>
      </c>
      <c r="F22" s="22">
        <v>1</v>
      </c>
      <c r="G22" s="22"/>
      <c r="H22" s="22"/>
      <c r="I22" s="22"/>
    </row>
    <row r="23" spans="1:9" ht="15.75" customHeight="1" x14ac:dyDescent="0.45">
      <c r="A23" s="15" t="s">
        <v>56</v>
      </c>
      <c r="B23" s="14" t="str">
        <f t="shared" si="0"/>
        <v>F1</v>
      </c>
      <c r="C23" s="14" t="s">
        <v>79</v>
      </c>
      <c r="D23" s="22">
        <v>1</v>
      </c>
      <c r="E23" s="23">
        <f t="shared" si="1"/>
        <v>1</v>
      </c>
      <c r="F23" s="22"/>
      <c r="G23" s="22"/>
      <c r="H23" s="22"/>
      <c r="I23" s="22"/>
    </row>
    <row r="24" spans="1:9" ht="15.75" customHeight="1" x14ac:dyDescent="0.45">
      <c r="A24" s="15" t="s">
        <v>49</v>
      </c>
      <c r="B24" s="14" t="str">
        <f t="shared" si="0"/>
        <v>F4</v>
      </c>
      <c r="C24" s="14" t="s">
        <v>79</v>
      </c>
      <c r="D24" s="22">
        <v>4</v>
      </c>
      <c r="E24" s="23" t="str">
        <f t="shared" si="1"/>
        <v/>
      </c>
      <c r="F24" s="22"/>
      <c r="G24" s="22"/>
      <c r="H24" s="22"/>
      <c r="I24" s="22"/>
    </row>
    <row r="25" spans="1:9" ht="15.75" customHeight="1" x14ac:dyDescent="0.45">
      <c r="A25" s="15" t="s">
        <v>50</v>
      </c>
      <c r="B25" s="14" t="str">
        <f t="shared" si="0"/>
        <v>F3</v>
      </c>
      <c r="C25" s="14" t="s">
        <v>79</v>
      </c>
      <c r="D25" s="22">
        <v>3</v>
      </c>
      <c r="E25" s="23" t="str">
        <f t="shared" si="1"/>
        <v/>
      </c>
      <c r="F25" s="22"/>
      <c r="G25" s="22"/>
      <c r="H25" s="22"/>
      <c r="I25" s="22"/>
    </row>
    <row r="26" spans="1:9" ht="15.75" customHeight="1" x14ac:dyDescent="0.45">
      <c r="A26" s="15" t="s">
        <v>63</v>
      </c>
      <c r="B26" s="14" t="str">
        <f t="shared" si="0"/>
        <v>G1</v>
      </c>
      <c r="C26" s="14" t="s">
        <v>80</v>
      </c>
      <c r="D26" s="22">
        <v>1</v>
      </c>
      <c r="E26" s="23">
        <f t="shared" si="1"/>
        <v>1</v>
      </c>
      <c r="F26" s="22">
        <v>1</v>
      </c>
      <c r="G26" s="22">
        <v>1</v>
      </c>
      <c r="H26" s="22">
        <v>1</v>
      </c>
      <c r="I26" s="22">
        <v>1</v>
      </c>
    </row>
    <row r="27" spans="1:9" ht="15.75" customHeight="1" x14ac:dyDescent="0.45">
      <c r="A27" s="15" t="s">
        <v>64</v>
      </c>
      <c r="B27" s="14" t="str">
        <f t="shared" si="0"/>
        <v>G3</v>
      </c>
      <c r="C27" s="14" t="s">
        <v>80</v>
      </c>
      <c r="D27" s="22">
        <v>3</v>
      </c>
      <c r="E27" s="23" t="str">
        <f t="shared" si="1"/>
        <v/>
      </c>
      <c r="F27" s="22"/>
      <c r="G27" s="22"/>
      <c r="H27" s="22"/>
      <c r="I27" s="22"/>
    </row>
    <row r="28" spans="1:9" ht="15.75" customHeight="1" x14ac:dyDescent="0.45">
      <c r="A28" s="15" t="s">
        <v>57</v>
      </c>
      <c r="B28" s="14" t="str">
        <f t="shared" si="0"/>
        <v>G2</v>
      </c>
      <c r="C28" s="14" t="s">
        <v>80</v>
      </c>
      <c r="D28" s="22">
        <v>2</v>
      </c>
      <c r="E28" s="23">
        <f t="shared" si="1"/>
        <v>1</v>
      </c>
      <c r="F28" s="24"/>
      <c r="G28" s="22"/>
      <c r="H28" s="22"/>
      <c r="I28" s="22"/>
    </row>
    <row r="29" spans="1:9" ht="15.75" customHeight="1" x14ac:dyDescent="0.45">
      <c r="A29" s="15" t="s">
        <v>58</v>
      </c>
      <c r="B29" s="14" t="str">
        <f t="shared" si="0"/>
        <v>G4</v>
      </c>
      <c r="C29" s="14" t="s">
        <v>80</v>
      </c>
      <c r="D29" s="22">
        <v>4</v>
      </c>
      <c r="E29" s="23" t="str">
        <f t="shared" si="1"/>
        <v/>
      </c>
      <c r="F29" s="22"/>
      <c r="G29" s="22"/>
      <c r="H29" s="22"/>
      <c r="I29" s="22"/>
    </row>
    <row r="30" spans="1:9" ht="15.75" customHeight="1" x14ac:dyDescent="0.45">
      <c r="A30" s="15" t="s">
        <v>61</v>
      </c>
      <c r="B30" s="14" t="str">
        <f t="shared" si="0"/>
        <v>H1</v>
      </c>
      <c r="C30" s="14" t="s">
        <v>81</v>
      </c>
      <c r="D30" s="22">
        <v>1</v>
      </c>
      <c r="E30" s="23">
        <f t="shared" si="1"/>
        <v>1</v>
      </c>
      <c r="F30" s="22">
        <v>1</v>
      </c>
      <c r="G30" s="22"/>
      <c r="H30" s="22"/>
      <c r="I30" s="22"/>
    </row>
    <row r="31" spans="1:9" ht="15.75" customHeight="1" x14ac:dyDescent="0.45">
      <c r="A31" s="15" t="s">
        <v>62</v>
      </c>
      <c r="B31" s="14" t="str">
        <f t="shared" si="0"/>
        <v>H4</v>
      </c>
      <c r="C31" s="14" t="s">
        <v>81</v>
      </c>
      <c r="D31" s="22">
        <v>4</v>
      </c>
      <c r="E31" s="23" t="str">
        <f t="shared" si="1"/>
        <v/>
      </c>
      <c r="F31" s="22"/>
      <c r="G31" s="22"/>
      <c r="H31" s="22"/>
      <c r="I31" s="22"/>
    </row>
    <row r="32" spans="1:9" ht="15.75" customHeight="1" x14ac:dyDescent="0.45">
      <c r="A32" s="15" t="s">
        <v>59</v>
      </c>
      <c r="B32" s="14" t="str">
        <f t="shared" si="0"/>
        <v>H3</v>
      </c>
      <c r="C32" s="14" t="s">
        <v>81</v>
      </c>
      <c r="D32" s="22">
        <v>3</v>
      </c>
      <c r="E32" s="23" t="str">
        <f t="shared" si="1"/>
        <v/>
      </c>
      <c r="F32" s="22"/>
      <c r="G32" s="22"/>
      <c r="H32" s="22"/>
      <c r="I32" s="22"/>
    </row>
    <row r="33" spans="1:9" ht="15.75" customHeight="1" x14ac:dyDescent="0.45">
      <c r="A33" s="15" t="s">
        <v>60</v>
      </c>
      <c r="B33" s="14" t="str">
        <f t="shared" si="0"/>
        <v>H2</v>
      </c>
      <c r="C33" s="14" t="s">
        <v>81</v>
      </c>
      <c r="D33" s="22">
        <v>2</v>
      </c>
      <c r="E33" s="23">
        <f t="shared" si="1"/>
        <v>1</v>
      </c>
      <c r="F33" s="22"/>
      <c r="G33" s="22"/>
      <c r="H33" s="22"/>
      <c r="I33" s="22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B2" sqref="B2"/>
    </sheetView>
  </sheetViews>
  <sheetFormatPr defaultColWidth="12.6328125" defaultRowHeight="15" customHeight="1" x14ac:dyDescent="0.25"/>
  <cols>
    <col min="1" max="1" width="54.90625" customWidth="1"/>
    <col min="2" max="2" width="29.08984375" customWidth="1"/>
    <col min="3" max="26" width="10.6328125" customWidth="1"/>
  </cols>
  <sheetData>
    <row r="1" spans="1:2" ht="135.75" customHeight="1" x14ac:dyDescent="0.25">
      <c r="A1" s="25" t="s">
        <v>82</v>
      </c>
      <c r="B1" s="26" t="s">
        <v>97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selection activeCell="E23" sqref="E23"/>
    </sheetView>
  </sheetViews>
  <sheetFormatPr defaultColWidth="12.6328125" defaultRowHeight="15" customHeight="1" x14ac:dyDescent="0.25"/>
  <cols>
    <col min="1" max="1" width="15.08984375" customWidth="1"/>
    <col min="2" max="5" width="12.6328125" customWidth="1"/>
    <col min="6" max="6" width="10.6328125" customWidth="1"/>
    <col min="7" max="7" width="15.08984375" customWidth="1"/>
    <col min="8" max="8" width="25.36328125" customWidth="1"/>
    <col min="9" max="9" width="3.36328125" customWidth="1"/>
    <col min="10" max="24" width="10.6328125" customWidth="1"/>
  </cols>
  <sheetData>
    <row r="1" spans="1:9" ht="12.75" customHeight="1" x14ac:dyDescent="0.3">
      <c r="A1" s="27" t="s">
        <v>83</v>
      </c>
      <c r="B1" s="27">
        <v>1</v>
      </c>
      <c r="C1" s="28">
        <v>2</v>
      </c>
      <c r="D1" s="28">
        <v>3</v>
      </c>
      <c r="E1" s="28">
        <v>4</v>
      </c>
      <c r="G1" s="29" t="s">
        <v>84</v>
      </c>
      <c r="H1" s="30" t="str">
        <f>IF(SUM('Elimination Rounds'!E2:E33)=16,"OK","DID NOT SELECT CORRECT NUMBER")</f>
        <v>OK</v>
      </c>
      <c r="I1" s="29" t="s">
        <v>85</v>
      </c>
    </row>
    <row r="2" spans="1:9" ht="12.75" customHeight="1" x14ac:dyDescent="0.3">
      <c r="A2" s="27" t="s">
        <v>74</v>
      </c>
      <c r="B2" s="30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30" t="str">
        <f ca="1">IF(ISNA(OFFSET('Elimination Rounds'!$A$1,MATCH($A2&amp;C$1,'Elimination Rounds'!$B$2:$B$33,0),0)),"Choice not made!",OFFSET('Elimination Rounds'!$A$1,MATCH($A2&amp;C$1,'Elimination Rounds'!$B$2:$B$33,0),0))</f>
        <v>Senegal</v>
      </c>
      <c r="D2" s="30" t="str">
        <f ca="1">IF(ISNA(OFFSET('Elimination Rounds'!$A$1,MATCH($A2&amp;D$1,'Elimination Rounds'!$B$2:$B$33,0),0)),"Choice not made!",OFFSET('Elimination Rounds'!$A$1,MATCH($A2&amp;D$1,'Elimination Rounds'!$B$2:$B$33,0),0))</f>
        <v>Ecuador</v>
      </c>
      <c r="E2" s="30" t="str">
        <f ca="1">IF(ISNA(OFFSET('Elimination Rounds'!$A$1,MATCH($A2&amp;E$1,'Elimination Rounds'!$B$2:$B$33,0),0)),"Choice not made!",OFFSET('Elimination Rounds'!$A$1,MATCH($A2&amp;E$1,'Elimination Rounds'!$B$2:$B$33,0),0))</f>
        <v>Qatar</v>
      </c>
      <c r="G2" s="29" t="s">
        <v>86</v>
      </c>
      <c r="H2" s="30" t="str">
        <f>IF(SUM('Elimination Rounds'!F2:F33)=8,"OK","DID NOT SELECT CORRECT NUMBER")</f>
        <v>OK</v>
      </c>
      <c r="I2" s="29" t="s">
        <v>87</v>
      </c>
    </row>
    <row r="3" spans="1:9" ht="12.75" customHeight="1" x14ac:dyDescent="0.3">
      <c r="A3" s="27" t="s">
        <v>75</v>
      </c>
      <c r="B3" s="30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30" t="str">
        <f ca="1">IF(ISNA(OFFSET('Elimination Rounds'!$A$1,MATCH($A3&amp;C$1,'Elimination Rounds'!$B$2:$B$33,0),0)),"Choice not made!",OFFSET('Elimination Rounds'!$A$1,MATCH($A3&amp;C$1,'Elimination Rounds'!$B$2:$B$33,0),0))</f>
        <v>Wales</v>
      </c>
      <c r="D3" s="30" t="str">
        <f ca="1">IF(ISNA(OFFSET('Elimination Rounds'!$A$1,MATCH($A3&amp;D$1,'Elimination Rounds'!$B$2:$B$33,0),0)),"Choice not made!",OFFSET('Elimination Rounds'!$A$1,MATCH($A3&amp;D$1,'Elimination Rounds'!$B$2:$B$33,0),0))</f>
        <v>USA</v>
      </c>
      <c r="E3" s="30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29" t="s">
        <v>88</v>
      </c>
      <c r="H3" s="30" t="str">
        <f>IF(SUM('Elimination Rounds'!G2:G33)=4,"OK","DID NOT SELECT CORRECT NUMBER")</f>
        <v>OK</v>
      </c>
      <c r="I3" s="29" t="s">
        <v>89</v>
      </c>
    </row>
    <row r="4" spans="1:9" ht="12.75" customHeight="1" x14ac:dyDescent="0.3">
      <c r="A4" s="27" t="s">
        <v>76</v>
      </c>
      <c r="B4" s="30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30" t="str">
        <f ca="1">IF(ISNA(OFFSET('Elimination Rounds'!$A$1,MATCH($A4&amp;C$1,'Elimination Rounds'!$B$2:$B$33,0),0)),"Choice not made!",OFFSET('Elimination Rounds'!$A$1,MATCH($A4&amp;C$1,'Elimination Rounds'!$B$2:$B$33,0),0))</f>
        <v>Poland</v>
      </c>
      <c r="D4" s="30" t="str">
        <f ca="1">IF(ISNA(OFFSET('Elimination Rounds'!$A$1,MATCH($A4&amp;D$1,'Elimination Rounds'!$B$2:$B$33,0),0)),"Choice not made!",OFFSET('Elimination Rounds'!$A$1,MATCH($A4&amp;D$1,'Elimination Rounds'!$B$2:$B$33,0),0))</f>
        <v>Mexico</v>
      </c>
      <c r="E4" s="30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29" t="s">
        <v>90</v>
      </c>
      <c r="H4" s="30" t="str">
        <f>IF(SUM('Elimination Rounds'!H2:H33)=2,"OK","DID NOT SELECT CORRECT NUMBER")</f>
        <v>OK</v>
      </c>
      <c r="I4" s="29" t="s">
        <v>91</v>
      </c>
    </row>
    <row r="5" spans="1:9" ht="12.75" customHeight="1" x14ac:dyDescent="0.3">
      <c r="A5" s="27" t="s">
        <v>77</v>
      </c>
      <c r="B5" s="30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30" t="str">
        <f ca="1">IF(ISNA(OFFSET('Elimination Rounds'!$A$1,MATCH($A5&amp;C$1,'Elimination Rounds'!$B$2:$B$33,0),0)),"Choice not made!",OFFSET('Elimination Rounds'!$A$1,MATCH($A5&amp;C$1,'Elimination Rounds'!$B$2:$B$33,0),0))</f>
        <v>Denmark</v>
      </c>
      <c r="D5" s="30" t="str">
        <f ca="1">IF(ISNA(OFFSET('Elimination Rounds'!$A$1,MATCH($A5&amp;D$1,'Elimination Rounds'!$B$2:$B$33,0),0)),"Choice not made!",OFFSET('Elimination Rounds'!$A$1,MATCH($A5&amp;D$1,'Elimination Rounds'!$B$2:$B$33,0),0))</f>
        <v>Australia</v>
      </c>
      <c r="E5" s="30" t="str">
        <f ca="1">IF(ISNA(OFFSET('Elimination Rounds'!$A$1,MATCH($A5&amp;E$1,'Elimination Rounds'!$B$2:$B$33,0),0)),"Choice not made!",OFFSET('Elimination Rounds'!$A$1,MATCH($A5&amp;E$1,'Elimination Rounds'!$B$2:$B$33,0),0))</f>
        <v>Tunisia</v>
      </c>
      <c r="G5" s="29" t="s">
        <v>92</v>
      </c>
      <c r="H5" s="30" t="str">
        <f>IF(SUM('Elimination Rounds'!I2:I33)=1,"OK","DID NOT SELECT CORRECT NUMBER")</f>
        <v>OK</v>
      </c>
      <c r="I5" s="29" t="s">
        <v>93</v>
      </c>
    </row>
    <row r="6" spans="1:9" ht="12.75" customHeight="1" x14ac:dyDescent="0.3">
      <c r="A6" s="27" t="s">
        <v>78</v>
      </c>
      <c r="B6" s="30" t="str">
        <f ca="1">IF(ISNA(OFFSET('Elimination Rounds'!$A$1,MATCH($A6&amp;B$1,'Elimination Rounds'!$B$2:$B$33,0),0)),"Choice not made!",OFFSET('Elimination Rounds'!$A$1,MATCH($A6&amp;B$1,'Elimination Rounds'!$B$2:$B$33,0),0))</f>
        <v>Spain</v>
      </c>
      <c r="C6" s="30" t="str">
        <f ca="1">IF(ISNA(OFFSET('Elimination Rounds'!$A$1,MATCH($A6&amp;C$1,'Elimination Rounds'!$B$2:$B$33,0),0)),"Choice not made!",OFFSET('Elimination Rounds'!$A$1,MATCH($A6&amp;C$1,'Elimination Rounds'!$B$2:$B$33,0),0))</f>
        <v>Japan</v>
      </c>
      <c r="D6" s="30" t="str">
        <f ca="1">IF(ISNA(OFFSET('Elimination Rounds'!$A$1,MATCH($A6&amp;D$1,'Elimination Rounds'!$B$2:$B$33,0),0)),"Choice not made!",OFFSET('Elimination Rounds'!$A$1,MATCH($A6&amp;D$1,'Elimination Rounds'!$B$2:$B$33,0),0))</f>
        <v>Germany</v>
      </c>
      <c r="E6" s="30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9" ht="12.75" customHeight="1" x14ac:dyDescent="0.3">
      <c r="A7" s="27" t="s">
        <v>79</v>
      </c>
      <c r="B7" s="30" t="str">
        <f ca="1">IF(ISNA(OFFSET('Elimination Rounds'!$A$1,MATCH($A7&amp;B$1,'Elimination Rounds'!$B$2:$B$33,0),0)),"Choice not made!",OFFSET('Elimination Rounds'!$A$1,MATCH($A7&amp;B$1,'Elimination Rounds'!$B$2:$B$33,0),0))</f>
        <v>Canada</v>
      </c>
      <c r="C7" s="30" t="str">
        <f ca="1">IF(ISNA(OFFSET('Elimination Rounds'!$A$1,MATCH($A7&amp;C$1,'Elimination Rounds'!$B$2:$B$33,0),0)),"Choice not made!",OFFSET('Elimination Rounds'!$A$1,MATCH($A7&amp;C$1,'Elimination Rounds'!$B$2:$B$33,0),0))</f>
        <v>Belgium</v>
      </c>
      <c r="D7" s="30" t="str">
        <f ca="1">IF(ISNA(OFFSET('Elimination Rounds'!$A$1,MATCH($A7&amp;D$1,'Elimination Rounds'!$B$2:$B$33,0),0)),"Choice not made!",OFFSET('Elimination Rounds'!$A$1,MATCH($A7&amp;D$1,'Elimination Rounds'!$B$2:$B$33,0),0))</f>
        <v>Croatia</v>
      </c>
      <c r="E7" s="30" t="str">
        <f ca="1">IF(ISNA(OFFSET('Elimination Rounds'!$A$1,MATCH($A7&amp;E$1,'Elimination Rounds'!$B$2:$B$33,0),0)),"Choice not made!",OFFSET('Elimination Rounds'!$A$1,MATCH($A7&amp;E$1,'Elimination Rounds'!$B$2:$B$33,0),0))</f>
        <v>Morocco</v>
      </c>
    </row>
    <row r="8" spans="1:9" ht="12.75" customHeight="1" x14ac:dyDescent="0.3">
      <c r="A8" s="27" t="s">
        <v>80</v>
      </c>
      <c r="B8" s="30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30" t="str">
        <f ca="1">IF(ISNA(OFFSET('Elimination Rounds'!$A$1,MATCH($A8&amp;C$1,'Elimination Rounds'!$B$2:$B$33,0),0)),"Choice not made!",OFFSET('Elimination Rounds'!$A$1,MATCH($A8&amp;C$1,'Elimination Rounds'!$B$2:$B$33,0),0))</f>
        <v>Switzerland</v>
      </c>
      <c r="D8" s="30" t="str">
        <f ca="1">IF(ISNA(OFFSET('Elimination Rounds'!$A$1,MATCH($A8&amp;D$1,'Elimination Rounds'!$B$2:$B$33,0),0)),"Choice not made!",OFFSET('Elimination Rounds'!$A$1,MATCH($A8&amp;D$1,'Elimination Rounds'!$B$2:$B$33,0),0))</f>
        <v>Serbia</v>
      </c>
      <c r="E8" s="30" t="str">
        <f ca="1">IF(ISNA(OFFSET('Elimination Rounds'!$A$1,MATCH($A8&amp;E$1,'Elimination Rounds'!$B$2:$B$33,0),0)),"Choice not made!",OFFSET('Elimination Rounds'!$A$1,MATCH($A8&amp;E$1,'Elimination Rounds'!$B$2:$B$33,0),0))</f>
        <v>Cameroon</v>
      </c>
    </row>
    <row r="9" spans="1:9" ht="12.75" customHeight="1" x14ac:dyDescent="0.3">
      <c r="A9" s="27" t="s">
        <v>81</v>
      </c>
      <c r="B9" s="30" t="str">
        <f ca="1">IF(ISNA(OFFSET('Elimination Rounds'!$A$1,MATCH($A9&amp;B$1,'Elimination Rounds'!$B$2:$B$33,0),0)),"Choice not made!",OFFSET('Elimination Rounds'!$A$1,MATCH($A9&amp;B$1,'Elimination Rounds'!$B$2:$B$33,0),0))</f>
        <v>Portugal</v>
      </c>
      <c r="C9" s="30" t="str">
        <f ca="1">IF(ISNA(OFFSET('Elimination Rounds'!$A$1,MATCH($A9&amp;C$1,'Elimination Rounds'!$B$2:$B$33,0),0)),"Choice not made!",OFFSET('Elimination Rounds'!$A$1,MATCH($A9&amp;C$1,'Elimination Rounds'!$B$2:$B$33,0),0))</f>
        <v>South Korea</v>
      </c>
      <c r="D9" s="30" t="str">
        <f ca="1">IF(ISNA(OFFSET('Elimination Rounds'!$A$1,MATCH($A9&amp;D$1,'Elimination Rounds'!$B$2:$B$33,0),0)),"Choice not made!",OFFSET('Elimination Rounds'!$A$1,MATCH($A9&amp;D$1,'Elimination Rounds'!$B$2:$B$33,0),0))</f>
        <v>Uruguay</v>
      </c>
      <c r="E9" s="30" t="str">
        <f ca="1">IF(ISNA(OFFSET('Elimination Rounds'!$A$1,MATCH($A9&amp;E$1,'Elimination Rounds'!$B$2:$B$33,0),0)),"Choice not made!",OFFSET('Elimination Rounds'!$A$1,MATCH($A9&amp;E$1,'Elimination Rounds'!$B$2:$B$33,0),0))</f>
        <v>Ghana</v>
      </c>
    </row>
    <row r="10" spans="1:9" ht="12.75" customHeight="1" x14ac:dyDescent="0.3">
      <c r="A10" s="31"/>
      <c r="B10" s="31"/>
      <c r="C10" s="31"/>
      <c r="D10" s="31"/>
      <c r="E10" s="31"/>
    </row>
    <row r="11" spans="1:9" ht="12.75" customHeight="1" x14ac:dyDescent="0.3">
      <c r="C11" s="31"/>
      <c r="D11" s="31"/>
      <c r="E11" s="31"/>
    </row>
    <row r="12" spans="1:9" ht="12.75" customHeight="1" x14ac:dyDescent="0.3">
      <c r="A12" s="34" t="s">
        <v>94</v>
      </c>
      <c r="B12" s="37">
        <f ca="1">COUNTIF(B2:E9,"Choice not made!")+COUNTIF(H1:H5,"DID NOT SELECT CORRECT NUMBER")</f>
        <v>0</v>
      </c>
      <c r="C12" s="31"/>
      <c r="D12" s="31"/>
      <c r="E12" s="31"/>
    </row>
    <row r="13" spans="1:9" ht="12.75" customHeight="1" x14ac:dyDescent="0.3">
      <c r="A13" s="35"/>
      <c r="B13" s="35"/>
      <c r="C13" s="31"/>
      <c r="D13" s="31"/>
      <c r="E13" s="31"/>
    </row>
    <row r="14" spans="1:9" ht="12.75" customHeight="1" x14ac:dyDescent="0.3">
      <c r="A14" s="36"/>
      <c r="B14" s="36"/>
      <c r="C14" s="31"/>
      <c r="D14" s="31"/>
      <c r="E14" s="31"/>
    </row>
    <row r="15" spans="1:9" ht="12.75" customHeight="1" x14ac:dyDescent="0.3">
      <c r="C15" s="31"/>
      <c r="D15" s="31"/>
      <c r="E15" s="31"/>
    </row>
    <row r="16" spans="1:9" ht="12.75" customHeight="1" x14ac:dyDescent="0.25"/>
    <row r="17" spans="1:6" ht="12.75" customHeight="1" x14ac:dyDescent="0.25">
      <c r="A17" s="38" t="str">
        <f ca="1">IF(B12=0,"GOOD TO GO!","NOT READY TO SUBMIT (SEE ERRORS ABOVE)")</f>
        <v>GOOD TO GO!</v>
      </c>
      <c r="B17" s="39"/>
      <c r="C17" s="39"/>
      <c r="D17" s="39"/>
      <c r="E17" s="39"/>
      <c r="F17" s="39"/>
    </row>
    <row r="18" spans="1:6" ht="12.75" customHeight="1" x14ac:dyDescent="0.25">
      <c r="A18" s="39"/>
      <c r="B18" s="39"/>
      <c r="C18" s="39"/>
      <c r="D18" s="39"/>
      <c r="E18" s="39"/>
      <c r="F18" s="39"/>
    </row>
    <row r="19" spans="1:6" ht="12.75" customHeight="1" x14ac:dyDescent="0.25">
      <c r="A19" s="39"/>
      <c r="B19" s="39"/>
      <c r="C19" s="39"/>
      <c r="D19" s="39"/>
      <c r="E19" s="39"/>
      <c r="F19" s="39"/>
    </row>
    <row r="20" spans="1:6" ht="12.75" customHeight="1" x14ac:dyDescent="0.25">
      <c r="A20" s="39"/>
      <c r="B20" s="39"/>
      <c r="C20" s="39"/>
      <c r="D20" s="39"/>
      <c r="E20" s="39"/>
      <c r="F20" s="39"/>
    </row>
    <row r="21" spans="1:6" ht="12.75" customHeight="1" x14ac:dyDescent="0.25">
      <c r="A21" s="39"/>
      <c r="B21" s="39"/>
      <c r="C21" s="39"/>
      <c r="D21" s="39"/>
      <c r="E21" s="39"/>
      <c r="F21" s="39"/>
    </row>
    <row r="22" spans="1:6" ht="12.75" customHeight="1" x14ac:dyDescent="0.25">
      <c r="A22" s="39"/>
      <c r="B22" s="39"/>
      <c r="C22" s="39"/>
      <c r="D22" s="39"/>
      <c r="E22" s="39"/>
      <c r="F22" s="39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4E8479A1CFD4CAEC963964ACDD432" ma:contentTypeVersion="9" ma:contentTypeDescription="Create a new document." ma:contentTypeScope="" ma:versionID="c85e7ed4c34ad2740fbccde4403ccd08">
  <xsd:schema xmlns:xsd="http://www.w3.org/2001/XMLSchema" xmlns:xs="http://www.w3.org/2001/XMLSchema" xmlns:p="http://schemas.microsoft.com/office/2006/metadata/properties" xmlns:ns3="745a8124-5753-4a09-8d46-4c5cc3dcc3c9" xmlns:ns4="8eb2a079-7cae-45df-b0bd-ba8e285ef9c9" targetNamespace="http://schemas.microsoft.com/office/2006/metadata/properties" ma:root="true" ma:fieldsID="8698f9e85af18d685313e93665742ce6" ns3:_="" ns4:_="">
    <xsd:import namespace="745a8124-5753-4a09-8d46-4c5cc3dcc3c9"/>
    <xsd:import namespace="8eb2a079-7cae-45df-b0bd-ba8e285ef9c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5a8124-5753-4a09-8d46-4c5cc3dcc3c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b2a079-7cae-45df-b0bd-ba8e285ef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CC0AC2-8F2A-4E5D-A524-AEB9C9DE977F}">
  <ds:schemaRefs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8eb2a079-7cae-45df-b0bd-ba8e285ef9c9"/>
    <ds:schemaRef ds:uri="http://schemas.openxmlformats.org/package/2006/metadata/core-properties"/>
    <ds:schemaRef ds:uri="745a8124-5753-4a09-8d46-4c5cc3dcc3c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E4EE51-F577-4F8D-9DA9-698AA764DF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2FE271-D8FE-44BF-AAD8-2E5E985A6F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5a8124-5753-4a09-8d46-4c5cc3dcc3c9"/>
    <ds:schemaRef ds:uri="8eb2a079-7cae-45df-b0bd-ba8e285ef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Monaghan</dc:creator>
  <cp:lastModifiedBy>Admin</cp:lastModifiedBy>
  <dcterms:created xsi:type="dcterms:W3CDTF">2022-11-21T05:46:09Z</dcterms:created>
  <dcterms:modified xsi:type="dcterms:W3CDTF">2022-11-21T21:55:27Z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0x010100B6E4E8479A1CFD4CAEC963964ACDD432</vt:lpwstr>
  </property>
</Properties>
</file>