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sriniva\Downloads\"/>
    </mc:Choice>
  </mc:AlternateContent>
  <xr:revisionPtr revIDLastSave="0" documentId="13_ncr:1_{C3F9B91D-B28C-4EAD-BB5E-9F830F3BC7CC}" xr6:coauthVersionLast="47" xr6:coauthVersionMax="47" xr10:uidLastSave="{00000000-0000-0000-0000-000000000000}"/>
  <bookViews>
    <workbookView xWindow="-110" yWindow="-110" windowWidth="22780" windowHeight="14540" tabRatio="500" activeTab="1" xr2:uid="{00000000-000D-0000-FFFF-FFFF00000000}"/>
  </bookViews>
  <sheets>
    <sheet name="Scoring Rules" sheetId="1" r:id="rId1"/>
    <sheet name="Group Stage" sheetId="2" r:id="rId2"/>
    <sheet name="Elimination Rounds" sheetId="3" r:id="rId3"/>
    <sheet name="Check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J4" i="2" s="1"/>
  <c r="G67" i="2"/>
  <c r="G68" i="2"/>
  <c r="G69" i="2"/>
  <c r="G70" i="2"/>
  <c r="G71" i="2"/>
  <c r="G72" i="2"/>
  <c r="G73" i="2"/>
  <c r="G2" i="2"/>
  <c r="C11" i="1"/>
  <c r="H6" i="5"/>
  <c r="H5" i="5"/>
  <c r="H4" i="5"/>
  <c r="H3" i="5"/>
  <c r="H2" i="5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J3" i="2" l="1" a="1"/>
  <c r="J3" i="2" s="1"/>
  <c r="J2" i="2" a="1"/>
  <c r="J2" i="2" s="1"/>
  <c r="C11" i="5"/>
  <c r="E4" i="5"/>
  <c r="D2" i="5"/>
  <c r="B12" i="5"/>
  <c r="B8" i="5"/>
  <c r="B2" i="5"/>
  <c r="C5" i="5"/>
  <c r="D8" i="5"/>
  <c r="C12" i="5"/>
  <c r="C2" i="5"/>
  <c r="D5" i="5"/>
  <c r="E8" i="5"/>
  <c r="D12" i="5"/>
  <c r="C8" i="5"/>
  <c r="E12" i="5"/>
  <c r="B9" i="5"/>
  <c r="B13" i="5"/>
  <c r="D11" i="5"/>
  <c r="B6" i="5"/>
  <c r="C9" i="5"/>
  <c r="C13" i="5"/>
  <c r="E2" i="5"/>
  <c r="B3" i="5"/>
  <c r="C6" i="5"/>
  <c r="D9" i="5"/>
  <c r="D13" i="5"/>
  <c r="C3" i="5"/>
  <c r="D6" i="5"/>
  <c r="E9" i="5"/>
  <c r="E13" i="5"/>
  <c r="E11" i="5"/>
  <c r="D3" i="5"/>
  <c r="E6" i="5"/>
  <c r="B10" i="5"/>
  <c r="C10" i="5"/>
  <c r="B5" i="5"/>
  <c r="B7" i="5"/>
  <c r="D10" i="5"/>
  <c r="E3" i="5"/>
  <c r="B4" i="5"/>
  <c r="C7" i="5"/>
  <c r="E10" i="5"/>
  <c r="E5" i="5"/>
  <c r="C4" i="5"/>
  <c r="D7" i="5"/>
  <c r="B11" i="5"/>
  <c r="D4" i="5"/>
  <c r="E7" i="5"/>
  <c r="B16" i="5" l="1"/>
  <c r="A18" i="5" s="1"/>
  <c r="J5" i="2"/>
  <c r="H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<sst xmlns="http://schemas.openxmlformats.org/spreadsheetml/2006/main" count="385" uniqueCount="113">
  <si>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</si>
  <si>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</si>
  <si>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</si>
  <si>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</si>
  <si>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</si>
  <si>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</si>
  <si>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</si>
  <si>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</si>
  <si>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</si>
  <si>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</si>
  <si>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</si>
  <si>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</si>
  <si>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</si>
  <si>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</si>
  <si>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</si>
  <si>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</si>
  <si>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</si>
  <si>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</si>
  <si>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</si>
  <si>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</si>
  <si>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</si>
  <si>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</si>
  <si>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</si>
  <si>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</si>
  <si>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</si>
  <si>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</si>
  <si>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</si>
  <si>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</si>
  <si>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</si>
  <si>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</si>
  <si>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</si>
  <si>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</si>
  <si>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</si>
  <si>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</si>
  <si>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</si>
  <si>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</si>
  <si>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</si>
  <si>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</si>
  <si>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</si>
  <si>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</si>
  <si>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</si>
  <si>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</si>
  <si>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</si>
  <si>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</si>
  <si>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</si>
  <si>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</si>
  <si>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</si>
  <si>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</si>
  <si>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</si>
  <si>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</si>
  <si>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</si>
  <si>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</si>
  <si>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</si>
  <si>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</si>
  <si>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</si>
  <si>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</si>
  <si>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</si>
  <si>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</si>
  <si>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</si>
  <si>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</si>
  <si>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</si>
  <si>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</si>
  <si>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</si>
  <si>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</si>
  <si>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</si>
  <si>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</si>
  <si>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</si>
  <si>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</si>
  <si>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</si>
  <si>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</si>
  <si>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</si>
  <si>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</si>
  <si>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</si>
  <si>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</si>
  <si>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</si>
  <si>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</si>
  <si>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</si>
  <si>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</si>
  <si>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</si>
  <si>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</si>
  <si>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</si>
  <si>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</si>
  <si>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</si>
  <si>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</si>
  <si>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</si>
  <si>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</si>
  <si>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</si>
  <si>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</si>
  <si>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</si>
  <si>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</si>
  <si>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</si>
  <si>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</si>
  <si>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</si>
  <si>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</si>
  <si>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</si>
  <si>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</si>
  <si>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</si>
  <si>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</si>
  <si>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</si>
  <si>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:8</t>
  </si>
  <si>
    <t>ROUND OF 16</t>
  </si>
  <si>
    <t>:16</t>
  </si>
  <si>
    <t>QUARTER-FINALS</t>
  </si>
  <si>
    <t>SEMI-FINALS</t>
  </si>
  <si>
    <t>:4</t>
  </si>
  <si>
    <t>FINAL</t>
  </si>
  <si>
    <t>:2</t>
  </si>
  <si>
    <t>WINNER</t>
  </si>
  <si>
    <t>:1</t>
  </si>
  <si>
    <t>TOTAL ERRORS</t>
  </si>
  <si>
    <t>Result</t>
  </si>
  <si>
    <t>GROUP STAGE GAMES CHECK</t>
  </si>
  <si>
    <t>GAMES PICKED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</si>
</sst>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8"/>
      <name val="Arial"/>
      <charset val="1"/>
    </font>
    <font>
      <b/>
      <sz val="12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8EAADB"/>
        <bgColor rgb="FF96969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6">
    <dxf>
      <fill>
        <patternFill>
          <bgColor theme="6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activeCell="A13" sqref="A13"/>
    </sheetView>
  </sheetViews>
  <sheetFormatPr defaultColWidth="8.6328125" defaultRowHeight="14.5" x14ac:dyDescent="0.35"/>
  <cols>
    <col min="1" max="1" width="58" customWidth="1"/>
    <col min="2" max="2" width="1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>
        <v>72</v>
      </c>
    </row>
    <row r="3" spans="1:3" x14ac:dyDescent="0.35">
      <c r="A3" s="2" t="s">
        <v>5</v>
      </c>
      <c r="B3" s="3" t="s">
        <v>6</v>
      </c>
      <c r="C3" s="3">
        <v>144</v>
      </c>
    </row>
    <row r="4" spans="1:3" x14ac:dyDescent="0.35">
      <c r="A4" s="2" t="s">
        <v>7</v>
      </c>
      <c r="B4" s="3" t="s">
        <v>6</v>
      </c>
      <c r="C4" s="3">
        <v>24</v>
      </c>
    </row>
    <row r="5" spans="1:3" x14ac:dyDescent="0.35">
      <c r="A5" s="2" t="s">
        <v>8</v>
      </c>
      <c r="B5" s="3" t="s">
        <v>4</v>
      </c>
      <c r="C5" s="3">
        <v>36</v>
      </c>
    </row>
    <row r="6" spans="1:3" x14ac:dyDescent="0.35">
      <c r="A6" s="2" t="s">
        <v>9</v>
      </c>
      <c r="B6" s="3" t="s">
        <v>6</v>
      </c>
      <c r="C6" s="3">
        <v>32</v>
      </c>
    </row>
    <row r="7" spans="1:3" x14ac:dyDescent="0.35">
      <c r="A7" s="2" t="s">
        <v>10</v>
      </c>
      <c r="B7" s="3" t="s">
        <v>11</v>
      </c>
      <c r="C7" s="3">
        <v>32</v>
      </c>
    </row>
    <row r="8" spans="1:3" x14ac:dyDescent="0.35">
      <c r="A8" s="2" t="s">
        <v>12</v>
      </c>
      <c r="B8" s="3" t="s">
        <v>13</v>
      </c>
      <c r="C8" s="3">
        <v>32</v>
      </c>
    </row>
    <row r="9" spans="1:3" x14ac:dyDescent="0.35">
      <c r="A9" s="2" t="s">
        <v>14</v>
      </c>
      <c r="B9" s="3" t="s">
        <v>15</v>
      </c>
      <c r="C9" s="3">
        <v>32</v>
      </c>
    </row>
    <row r="10" spans="1:3" x14ac:dyDescent="0.35">
      <c r="A10" s="2" t="s">
        <v>16</v>
      </c>
      <c r="B10" s="3" t="s">
        <v>17</v>
      </c>
      <c r="C10" s="3">
        <v>32</v>
      </c>
    </row>
    <row r="11" spans="1:3" x14ac:dyDescent="0.35">
      <c r="A11" s="4" t="s">
        <v>18</v>
      </c>
      <c r="B11" s="5"/>
      <c r="C11" s="6">
        <f>SUM(C2:C10)</f>
        <v>436</v>
      </c>
    </row>
    <row r="13" spans="1:3" x14ac:dyDescent="0.35">
      <c r="A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"/>
  <sheetViews>
    <sheetView tabSelected="1" zoomScale="80" zoomScaleNormal="80" workbookViewId="0">
      <pane ySplit="1" topLeftCell="A2" activePane="bottomLeft" state="frozen"/>
      <selection pane="bottomLeft" activeCell="J20" sqref="J20"/>
    </sheetView>
  </sheetViews>
  <sheetFormatPr defaultColWidth="8.6328125" defaultRowHeight="14.5" x14ac:dyDescent="0.35"/>
  <cols>
    <col min="1" max="2" width="8" customWidth="1"/>
    <col min="3" max="4" width="18" customWidth="1"/>
    <col min="5" max="6" width="12" customWidth="1"/>
    <col min="7" max="7" width="15" customWidth="1"/>
    <col min="8" max="8" width="3" customWidth="1"/>
    <col min="9" max="9" width="11" customWidth="1"/>
    <col min="10" max="10" width="8" customWidth="1"/>
  </cols>
  <sheetData>
    <row r="1" spans="1:19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5" t="s">
        <v>110</v>
      </c>
      <c r="I1" s="8" t="s">
        <v>25</v>
      </c>
      <c r="J1" s="9"/>
    </row>
    <row r="2" spans="1:19" x14ac:dyDescent="0.35">
      <c r="A2" s="3">
        <v>1</v>
      </c>
      <c r="B2" s="3" t="s">
        <v>26</v>
      </c>
      <c r="C2" s="2" t="s">
        <v>27</v>
      </c>
      <c r="D2" s="2" t="s">
        <v>28</v>
      </c>
      <c r="E2" s="10">
        <v>1</v>
      </c>
      <c r="F2" s="10">
        <v>0</v>
      </c>
      <c r="G2" s="3" t="str">
        <f>IF(AND(E2&lt;&gt;"",F2&lt;&gt;""),IF(E2&gt;F2,C2,IF(E2&lt;F2,D2,"Draw")),"")</f>
        <v>Mexico</v>
      </c>
      <c r="I2" s="2" t="s">
        <v>21</v>
      </c>
      <c r="J2" s="3" cm="1">
        <f t="array" ref="J2">SUMPRODUCT((G2:G73=C2:C73)*1)</f>
        <v>55</v>
      </c>
      <c r="L2" s="18"/>
      <c r="M2" s="18"/>
      <c r="N2" s="18"/>
      <c r="O2" s="18"/>
      <c r="P2" s="18"/>
      <c r="Q2" s="18"/>
      <c r="R2" s="18"/>
      <c r="S2" s="18"/>
    </row>
    <row r="3" spans="1:19" x14ac:dyDescent="0.35">
      <c r="A3" s="3">
        <v>2</v>
      </c>
      <c r="B3" s="3" t="s">
        <v>26</v>
      </c>
      <c r="C3" s="2" t="s">
        <v>29</v>
      </c>
      <c r="D3" s="2" t="s">
        <v>30</v>
      </c>
      <c r="E3" s="10">
        <v>0</v>
      </c>
      <c r="F3" s="10">
        <v>1</v>
      </c>
      <c r="G3" s="3" t="str">
        <f t="shared" ref="G3:G66" si="0">IF(AND(E3&lt;&gt;"",F3&lt;&gt;""),IF(E3&gt;F3,C3,IF(E3&lt;F3,D3,"Draw")),"")</f>
        <v>Czechia</v>
      </c>
      <c r="I3" s="2" t="s">
        <v>22</v>
      </c>
      <c r="J3" s="3" cm="1">
        <f t="array" ref="J3">SUMPRODUCT((G2:G73=D2:D73)*1)</f>
        <v>8</v>
      </c>
      <c r="L3" s="18"/>
      <c r="M3" s="18"/>
      <c r="N3" s="18"/>
      <c r="O3" s="18"/>
      <c r="P3" s="18"/>
      <c r="Q3" s="18"/>
      <c r="R3" s="18"/>
      <c r="S3" s="18"/>
    </row>
    <row r="4" spans="1:19" x14ac:dyDescent="0.35">
      <c r="A4" s="3">
        <v>3</v>
      </c>
      <c r="B4" s="3" t="s">
        <v>26</v>
      </c>
      <c r="C4" s="2" t="s">
        <v>27</v>
      </c>
      <c r="D4" s="2" t="s">
        <v>29</v>
      </c>
      <c r="E4" s="10">
        <v>2</v>
      </c>
      <c r="F4" s="10">
        <v>0</v>
      </c>
      <c r="G4" s="3" t="str">
        <f t="shared" si="0"/>
        <v>Mexico</v>
      </c>
      <c r="I4" s="2" t="s">
        <v>31</v>
      </c>
      <c r="J4" s="3">
        <f>COUNTIF(G2:G73,"Draw")</f>
        <v>9</v>
      </c>
      <c r="L4" s="18"/>
      <c r="M4" s="18"/>
      <c r="N4" s="18"/>
      <c r="O4" s="18"/>
      <c r="P4" s="18"/>
      <c r="Q4" s="18"/>
      <c r="R4" s="18"/>
      <c r="S4" s="18"/>
    </row>
    <row r="5" spans="1:19" x14ac:dyDescent="0.35">
      <c r="A5" s="3">
        <v>4</v>
      </c>
      <c r="B5" s="3" t="s">
        <v>26</v>
      </c>
      <c r="C5" s="2" t="s">
        <v>28</v>
      </c>
      <c r="D5" s="2" t="s">
        <v>30</v>
      </c>
      <c r="E5" s="10">
        <v>1</v>
      </c>
      <c r="F5" s="10">
        <v>0</v>
      </c>
      <c r="G5" s="3" t="str">
        <f t="shared" si="0"/>
        <v>South Korea</v>
      </c>
      <c r="I5" s="4" t="s">
        <v>18</v>
      </c>
      <c r="J5" s="6">
        <f>SUM(J2:J4)</f>
        <v>72</v>
      </c>
      <c r="L5" s="18"/>
      <c r="M5" s="18"/>
      <c r="N5" s="18"/>
      <c r="O5" s="18"/>
      <c r="P5" s="18"/>
      <c r="Q5" s="18"/>
      <c r="R5" s="18"/>
      <c r="S5" s="18"/>
    </row>
    <row r="6" spans="1:19" x14ac:dyDescent="0.35">
      <c r="A6" s="3">
        <v>5</v>
      </c>
      <c r="B6" s="3" t="s">
        <v>26</v>
      </c>
      <c r="C6" s="2" t="s">
        <v>27</v>
      </c>
      <c r="D6" s="2" t="s">
        <v>30</v>
      </c>
      <c r="E6" s="10">
        <v>2</v>
      </c>
      <c r="F6" s="10">
        <v>1</v>
      </c>
      <c r="G6" s="3" t="str">
        <f t="shared" si="0"/>
        <v>Mexico</v>
      </c>
      <c r="I6" s="11" t="s">
        <v>32</v>
      </c>
      <c r="L6" s="18"/>
      <c r="M6" s="18"/>
      <c r="N6" s="18"/>
      <c r="O6" s="18"/>
      <c r="P6" s="18"/>
      <c r="Q6" s="18"/>
      <c r="R6" s="18"/>
      <c r="S6" s="18"/>
    </row>
    <row r="7" spans="1:19" x14ac:dyDescent="0.35">
      <c r="A7" s="3">
        <v>6</v>
      </c>
      <c r="B7" s="3" t="s">
        <v>26</v>
      </c>
      <c r="C7" s="2" t="s">
        <v>28</v>
      </c>
      <c r="D7" s="2" t="s">
        <v>29</v>
      </c>
      <c r="E7" s="10">
        <v>1</v>
      </c>
      <c r="F7" s="10">
        <v>0</v>
      </c>
      <c r="G7" s="3" t="str">
        <f t="shared" si="0"/>
        <v>South Korea</v>
      </c>
      <c r="L7" s="18"/>
      <c r="M7" s="18"/>
      <c r="N7" s="18"/>
      <c r="O7" s="18"/>
      <c r="P7" s="18"/>
      <c r="Q7" s="18"/>
      <c r="R7" s="18"/>
      <c r="S7" s="18"/>
    </row>
    <row r="8" spans="1:19" x14ac:dyDescent="0.35">
      <c r="A8" s="3">
        <v>7</v>
      </c>
      <c r="B8" s="3" t="s">
        <v>33</v>
      </c>
      <c r="C8" s="2" t="s">
        <v>34</v>
      </c>
      <c r="D8" s="2" t="s">
        <v>35</v>
      </c>
      <c r="E8" s="10">
        <v>2</v>
      </c>
      <c r="F8" s="10">
        <v>0</v>
      </c>
      <c r="G8" s="3" t="str">
        <f t="shared" si="0"/>
        <v>Canada</v>
      </c>
      <c r="L8" s="18"/>
      <c r="M8" s="18"/>
      <c r="N8" s="18"/>
      <c r="O8" s="18"/>
      <c r="P8" s="18"/>
      <c r="Q8" s="18"/>
      <c r="R8" s="18"/>
      <c r="S8" s="18"/>
    </row>
    <row r="9" spans="1:19" x14ac:dyDescent="0.35">
      <c r="A9" s="3">
        <v>8</v>
      </c>
      <c r="B9" s="3" t="s">
        <v>33</v>
      </c>
      <c r="C9" s="2" t="s">
        <v>36</v>
      </c>
      <c r="D9" s="2" t="s">
        <v>37</v>
      </c>
      <c r="E9" s="10">
        <v>0</v>
      </c>
      <c r="F9" s="10">
        <v>1</v>
      </c>
      <c r="G9" s="3" t="str">
        <f t="shared" si="0"/>
        <v>Bosnia-Herzegovina</v>
      </c>
      <c r="L9" s="18"/>
      <c r="M9" s="18"/>
      <c r="N9" s="18"/>
      <c r="O9" s="18"/>
      <c r="P9" s="18"/>
      <c r="Q9" s="18"/>
      <c r="R9" s="18"/>
      <c r="S9" s="18"/>
    </row>
    <row r="10" spans="1:19" x14ac:dyDescent="0.35">
      <c r="A10" s="3">
        <v>9</v>
      </c>
      <c r="B10" s="3" t="s">
        <v>33</v>
      </c>
      <c r="C10" s="2" t="s">
        <v>34</v>
      </c>
      <c r="D10" s="2" t="s">
        <v>36</v>
      </c>
      <c r="E10" s="10">
        <v>1</v>
      </c>
      <c r="F10" s="10">
        <v>0</v>
      </c>
      <c r="G10" s="3" t="str">
        <f t="shared" si="0"/>
        <v>Canada</v>
      </c>
      <c r="L10" s="18"/>
      <c r="M10" s="18"/>
      <c r="N10" s="18"/>
      <c r="O10" s="18"/>
      <c r="P10" s="18"/>
      <c r="Q10" s="18"/>
      <c r="R10" s="18"/>
      <c r="S10" s="18"/>
    </row>
    <row r="11" spans="1:19" x14ac:dyDescent="0.35">
      <c r="A11" s="3">
        <v>10</v>
      </c>
      <c r="B11" s="3" t="s">
        <v>33</v>
      </c>
      <c r="C11" s="2" t="s">
        <v>35</v>
      </c>
      <c r="D11" s="2" t="s">
        <v>37</v>
      </c>
      <c r="E11" s="10">
        <v>1</v>
      </c>
      <c r="F11" s="10">
        <v>1</v>
      </c>
      <c r="G11" s="3" t="str">
        <f t="shared" si="0"/>
        <v>Draw</v>
      </c>
      <c r="L11" s="18"/>
      <c r="M11" s="18"/>
      <c r="N11" s="18"/>
      <c r="O11" s="18"/>
      <c r="P11" s="18"/>
      <c r="Q11" s="18"/>
      <c r="R11" s="18"/>
      <c r="S11" s="18"/>
    </row>
    <row r="12" spans="1:19" x14ac:dyDescent="0.35">
      <c r="A12" s="3">
        <v>11</v>
      </c>
      <c r="B12" s="3" t="s">
        <v>33</v>
      </c>
      <c r="C12" s="2" t="s">
        <v>34</v>
      </c>
      <c r="D12" s="2" t="s">
        <v>37</v>
      </c>
      <c r="E12" s="10">
        <v>1</v>
      </c>
      <c r="F12" s="10">
        <v>0</v>
      </c>
      <c r="G12" s="3" t="str">
        <f t="shared" si="0"/>
        <v>Canada</v>
      </c>
      <c r="L12" s="18"/>
      <c r="M12" s="18"/>
      <c r="N12" s="18"/>
      <c r="O12" s="18"/>
      <c r="P12" s="18"/>
      <c r="Q12" s="18"/>
      <c r="R12" s="18"/>
      <c r="S12" s="18"/>
    </row>
    <row r="13" spans="1:19" x14ac:dyDescent="0.35">
      <c r="A13" s="3">
        <v>12</v>
      </c>
      <c r="B13" s="3" t="s">
        <v>33</v>
      </c>
      <c r="C13" s="2" t="s">
        <v>35</v>
      </c>
      <c r="D13" s="2" t="s">
        <v>36</v>
      </c>
      <c r="E13" s="10">
        <v>1</v>
      </c>
      <c r="F13" s="10">
        <v>0</v>
      </c>
      <c r="G13" s="3" t="str">
        <f t="shared" si="0"/>
        <v>Switzerland</v>
      </c>
      <c r="L13" s="18"/>
      <c r="M13" s="18"/>
      <c r="N13" s="18"/>
      <c r="O13" s="18"/>
      <c r="P13" s="18"/>
      <c r="Q13" s="18"/>
      <c r="R13" s="18"/>
      <c r="S13" s="18"/>
    </row>
    <row r="14" spans="1:19" x14ac:dyDescent="0.35">
      <c r="A14" s="3">
        <v>13</v>
      </c>
      <c r="B14" s="3" t="s">
        <v>38</v>
      </c>
      <c r="C14" s="2" t="s">
        <v>39</v>
      </c>
      <c r="D14" s="2" t="s">
        <v>40</v>
      </c>
      <c r="E14" s="10">
        <v>2</v>
      </c>
      <c r="F14" s="10">
        <v>1</v>
      </c>
      <c r="G14" s="3" t="str">
        <f t="shared" si="0"/>
        <v>Brazil</v>
      </c>
      <c r="L14" s="18"/>
      <c r="M14" s="18"/>
      <c r="N14" s="18"/>
      <c r="O14" s="18"/>
      <c r="P14" s="18"/>
      <c r="Q14" s="18"/>
      <c r="R14" s="18"/>
      <c r="S14" s="18"/>
    </row>
    <row r="15" spans="1:19" x14ac:dyDescent="0.35">
      <c r="A15" s="3">
        <v>14</v>
      </c>
      <c r="B15" s="3" t="s">
        <v>38</v>
      </c>
      <c r="C15" s="2" t="s">
        <v>41</v>
      </c>
      <c r="D15" s="2" t="s">
        <v>42</v>
      </c>
      <c r="E15" s="10">
        <v>1</v>
      </c>
      <c r="F15" s="10">
        <v>0</v>
      </c>
      <c r="G15" s="3" t="str">
        <f t="shared" si="0"/>
        <v>Scotland</v>
      </c>
      <c r="L15" s="18"/>
      <c r="M15" s="18"/>
      <c r="N15" s="18"/>
      <c r="O15" s="18"/>
      <c r="P15" s="18"/>
      <c r="Q15" s="18"/>
      <c r="R15" s="18"/>
      <c r="S15" s="18"/>
    </row>
    <row r="16" spans="1:19" x14ac:dyDescent="0.35">
      <c r="A16" s="3">
        <v>15</v>
      </c>
      <c r="B16" s="3" t="s">
        <v>38</v>
      </c>
      <c r="C16" s="2" t="s">
        <v>39</v>
      </c>
      <c r="D16" s="2" t="s">
        <v>41</v>
      </c>
      <c r="E16" s="10">
        <v>2</v>
      </c>
      <c r="F16" s="10">
        <v>0</v>
      </c>
      <c r="G16" s="3" t="str">
        <f t="shared" si="0"/>
        <v>Brazil</v>
      </c>
      <c r="L16" s="18"/>
      <c r="M16" s="18"/>
      <c r="N16" s="18"/>
      <c r="O16" s="18"/>
      <c r="P16" s="18"/>
      <c r="Q16" s="18"/>
      <c r="R16" s="18"/>
      <c r="S16" s="18"/>
    </row>
    <row r="17" spans="1:19" x14ac:dyDescent="0.35">
      <c r="A17" s="3">
        <v>16</v>
      </c>
      <c r="B17" s="3" t="s">
        <v>38</v>
      </c>
      <c r="C17" s="2" t="s">
        <v>40</v>
      </c>
      <c r="D17" s="2" t="s">
        <v>42</v>
      </c>
      <c r="E17" s="10">
        <v>2</v>
      </c>
      <c r="F17" s="10">
        <v>0</v>
      </c>
      <c r="G17" s="3" t="str">
        <f t="shared" si="0"/>
        <v>Morocco</v>
      </c>
      <c r="L17" s="18"/>
      <c r="M17" s="18"/>
      <c r="N17" s="18"/>
      <c r="O17" s="18"/>
      <c r="P17" s="18"/>
      <c r="Q17" s="18"/>
      <c r="R17" s="18"/>
      <c r="S17" s="18"/>
    </row>
    <row r="18" spans="1:19" x14ac:dyDescent="0.35">
      <c r="A18" s="3">
        <v>17</v>
      </c>
      <c r="B18" s="3" t="s">
        <v>38</v>
      </c>
      <c r="C18" s="2" t="s">
        <v>39</v>
      </c>
      <c r="D18" s="2" t="s">
        <v>42</v>
      </c>
      <c r="E18" s="10">
        <v>2</v>
      </c>
      <c r="F18" s="10">
        <v>0</v>
      </c>
      <c r="G18" s="3" t="str">
        <f t="shared" si="0"/>
        <v>Brazil</v>
      </c>
      <c r="L18" s="18"/>
      <c r="M18" s="18"/>
      <c r="N18" s="18"/>
      <c r="O18" s="18"/>
      <c r="P18" s="18"/>
      <c r="Q18" s="18"/>
      <c r="R18" s="18"/>
      <c r="S18" s="18"/>
    </row>
    <row r="19" spans="1:19" x14ac:dyDescent="0.35">
      <c r="A19" s="3">
        <v>18</v>
      </c>
      <c r="B19" s="3" t="s">
        <v>38</v>
      </c>
      <c r="C19" s="2" t="s">
        <v>40</v>
      </c>
      <c r="D19" s="2" t="s">
        <v>41</v>
      </c>
      <c r="E19" s="10">
        <v>1</v>
      </c>
      <c r="F19" s="10">
        <v>0</v>
      </c>
      <c r="G19" s="3" t="str">
        <f t="shared" si="0"/>
        <v>Morocco</v>
      </c>
      <c r="L19" s="18"/>
      <c r="M19" s="18"/>
      <c r="N19" s="18"/>
      <c r="O19" s="18"/>
      <c r="P19" s="18"/>
      <c r="Q19" s="18"/>
      <c r="R19" s="18"/>
      <c r="S19" s="18"/>
    </row>
    <row r="20" spans="1:19" x14ac:dyDescent="0.35">
      <c r="A20" s="3">
        <v>19</v>
      </c>
      <c r="B20" s="3" t="s">
        <v>43</v>
      </c>
      <c r="C20" s="2" t="s">
        <v>44</v>
      </c>
      <c r="D20" s="2" t="s">
        <v>45</v>
      </c>
      <c r="E20" s="10">
        <v>1</v>
      </c>
      <c r="F20" s="10">
        <v>0</v>
      </c>
      <c r="G20" s="3" t="str">
        <f t="shared" si="0"/>
        <v>USA</v>
      </c>
      <c r="L20" s="18"/>
      <c r="M20" s="18"/>
      <c r="N20" s="18"/>
      <c r="O20" s="18"/>
      <c r="P20" s="18"/>
      <c r="Q20" s="18"/>
      <c r="R20" s="18"/>
      <c r="S20" s="18"/>
    </row>
    <row r="21" spans="1:19" x14ac:dyDescent="0.35">
      <c r="A21" s="3">
        <v>20</v>
      </c>
      <c r="B21" s="3" t="s">
        <v>43</v>
      </c>
      <c r="C21" s="2" t="s">
        <v>46</v>
      </c>
      <c r="D21" s="2" t="s">
        <v>47</v>
      </c>
      <c r="E21" s="10">
        <v>1</v>
      </c>
      <c r="F21" s="10">
        <v>0</v>
      </c>
      <c r="G21" s="3" t="str">
        <f t="shared" si="0"/>
        <v>Australia</v>
      </c>
      <c r="L21" s="18"/>
      <c r="M21" s="18"/>
      <c r="N21" s="18"/>
      <c r="O21" s="18"/>
      <c r="P21" s="18"/>
      <c r="Q21" s="18"/>
      <c r="R21" s="18"/>
      <c r="S21" s="18"/>
    </row>
    <row r="22" spans="1:19" x14ac:dyDescent="0.35">
      <c r="A22" s="3">
        <v>21</v>
      </c>
      <c r="B22" s="3" t="s">
        <v>43</v>
      </c>
      <c r="C22" s="2" t="s">
        <v>44</v>
      </c>
      <c r="D22" s="2" t="s">
        <v>46</v>
      </c>
      <c r="E22" s="10">
        <v>1</v>
      </c>
      <c r="F22" s="10">
        <v>0</v>
      </c>
      <c r="G22" s="3" t="str">
        <f t="shared" si="0"/>
        <v>USA</v>
      </c>
      <c r="L22" s="18"/>
      <c r="M22" s="18"/>
      <c r="N22" s="18"/>
      <c r="O22" s="18"/>
      <c r="P22" s="18"/>
      <c r="Q22" s="18"/>
      <c r="R22" s="18"/>
      <c r="S22" s="18"/>
    </row>
    <row r="23" spans="1:19" x14ac:dyDescent="0.35">
      <c r="A23" s="3">
        <v>22</v>
      </c>
      <c r="B23" s="3" t="s">
        <v>43</v>
      </c>
      <c r="C23" s="2" t="s">
        <v>45</v>
      </c>
      <c r="D23" s="2" t="s">
        <v>47</v>
      </c>
      <c r="E23" s="10">
        <v>0</v>
      </c>
      <c r="F23" s="10">
        <v>1</v>
      </c>
      <c r="G23" s="3" t="str">
        <f t="shared" si="0"/>
        <v>Turkiye</v>
      </c>
      <c r="L23" s="18"/>
      <c r="M23" s="18"/>
      <c r="N23" s="18"/>
      <c r="O23" s="18"/>
      <c r="P23" s="18"/>
      <c r="Q23" s="18"/>
      <c r="R23" s="18"/>
      <c r="S23" s="18"/>
    </row>
    <row r="24" spans="1:19" x14ac:dyDescent="0.35">
      <c r="A24" s="3">
        <v>23</v>
      </c>
      <c r="B24" s="3" t="s">
        <v>43</v>
      </c>
      <c r="C24" s="2" t="s">
        <v>44</v>
      </c>
      <c r="D24" s="2" t="s">
        <v>47</v>
      </c>
      <c r="E24" s="10">
        <v>0</v>
      </c>
      <c r="F24" s="10">
        <v>0</v>
      </c>
      <c r="G24" s="3" t="str">
        <f t="shared" si="0"/>
        <v>Draw</v>
      </c>
      <c r="L24" s="18"/>
      <c r="M24" s="18"/>
      <c r="N24" s="18"/>
      <c r="O24" s="18"/>
      <c r="P24" s="18"/>
      <c r="Q24" s="18"/>
      <c r="R24" s="18"/>
      <c r="S24" s="18"/>
    </row>
    <row r="25" spans="1:19" x14ac:dyDescent="0.35">
      <c r="A25" s="3">
        <v>24</v>
      </c>
      <c r="B25" s="3" t="s">
        <v>43</v>
      </c>
      <c r="C25" s="2" t="s">
        <v>45</v>
      </c>
      <c r="D25" s="2" t="s">
        <v>46</v>
      </c>
      <c r="E25" s="10">
        <v>0</v>
      </c>
      <c r="F25" s="10">
        <v>1</v>
      </c>
      <c r="G25" s="3" t="str">
        <f t="shared" si="0"/>
        <v>Australia</v>
      </c>
      <c r="L25" s="18"/>
      <c r="M25" s="18"/>
      <c r="N25" s="18"/>
      <c r="O25" s="18"/>
      <c r="P25" s="18"/>
      <c r="Q25" s="18"/>
      <c r="R25" s="18"/>
      <c r="S25" s="18"/>
    </row>
    <row r="26" spans="1:19" x14ac:dyDescent="0.35">
      <c r="A26" s="3">
        <v>25</v>
      </c>
      <c r="B26" s="3" t="s">
        <v>48</v>
      </c>
      <c r="C26" s="2" t="s">
        <v>49</v>
      </c>
      <c r="D26" s="2" t="s">
        <v>50</v>
      </c>
      <c r="E26" s="10">
        <v>2</v>
      </c>
      <c r="F26" s="10">
        <v>0</v>
      </c>
      <c r="G26" s="3" t="str">
        <f t="shared" si="0"/>
        <v>Germany</v>
      </c>
      <c r="L26" s="18"/>
      <c r="M26" s="18"/>
      <c r="N26" s="18"/>
      <c r="O26" s="18"/>
      <c r="P26" s="18"/>
      <c r="Q26" s="18"/>
      <c r="R26" s="18"/>
      <c r="S26" s="18"/>
    </row>
    <row r="27" spans="1:19" x14ac:dyDescent="0.35">
      <c r="A27" s="3">
        <v>26</v>
      </c>
      <c r="B27" s="3" t="s">
        <v>48</v>
      </c>
      <c r="C27" s="2" t="s">
        <v>51</v>
      </c>
      <c r="D27" s="2" t="s">
        <v>52</v>
      </c>
      <c r="E27" s="10">
        <v>1</v>
      </c>
      <c r="F27" s="10">
        <v>0</v>
      </c>
      <c r="G27" s="3" t="str">
        <f t="shared" si="0"/>
        <v>Ivory Coast</v>
      </c>
      <c r="L27" s="18"/>
      <c r="M27" s="18"/>
      <c r="N27" s="18"/>
      <c r="O27" s="18"/>
      <c r="P27" s="18"/>
      <c r="Q27" s="18"/>
      <c r="R27" s="18"/>
      <c r="S27" s="18"/>
    </row>
    <row r="28" spans="1:19" x14ac:dyDescent="0.35">
      <c r="A28" s="3">
        <v>27</v>
      </c>
      <c r="B28" s="3" t="s">
        <v>48</v>
      </c>
      <c r="C28" s="2" t="s">
        <v>49</v>
      </c>
      <c r="D28" s="2" t="s">
        <v>51</v>
      </c>
      <c r="E28" s="10">
        <v>2</v>
      </c>
      <c r="F28" s="10">
        <v>1</v>
      </c>
      <c r="G28" s="3" t="str">
        <f t="shared" si="0"/>
        <v>Germany</v>
      </c>
      <c r="L28" s="18"/>
      <c r="M28" s="18"/>
      <c r="N28" s="18"/>
      <c r="O28" s="18"/>
      <c r="P28" s="18"/>
      <c r="Q28" s="18"/>
      <c r="R28" s="18"/>
      <c r="S28" s="18"/>
    </row>
    <row r="29" spans="1:19" x14ac:dyDescent="0.35">
      <c r="A29" s="3">
        <v>28</v>
      </c>
      <c r="B29" s="3" t="s">
        <v>48</v>
      </c>
      <c r="C29" s="2" t="s">
        <v>50</v>
      </c>
      <c r="D29" s="2" t="s">
        <v>52</v>
      </c>
      <c r="E29" s="10">
        <v>2</v>
      </c>
      <c r="F29" s="10">
        <v>0</v>
      </c>
      <c r="G29" s="3" t="str">
        <f t="shared" si="0"/>
        <v>Ecuador</v>
      </c>
      <c r="L29" s="18"/>
      <c r="M29" s="18"/>
      <c r="N29" s="18"/>
      <c r="O29" s="18"/>
      <c r="P29" s="18"/>
      <c r="Q29" s="18"/>
      <c r="R29" s="18"/>
      <c r="S29" s="18"/>
    </row>
    <row r="30" spans="1:19" x14ac:dyDescent="0.35">
      <c r="A30" s="3">
        <v>29</v>
      </c>
      <c r="B30" s="3" t="s">
        <v>48</v>
      </c>
      <c r="C30" s="2" t="s">
        <v>49</v>
      </c>
      <c r="D30" s="2" t="s">
        <v>52</v>
      </c>
      <c r="E30" s="10">
        <v>2</v>
      </c>
      <c r="F30" s="10">
        <v>0</v>
      </c>
      <c r="G30" s="3" t="str">
        <f t="shared" si="0"/>
        <v>Germany</v>
      </c>
      <c r="L30" s="18"/>
      <c r="M30" s="18"/>
      <c r="N30" s="18"/>
      <c r="O30" s="18"/>
      <c r="P30" s="18"/>
      <c r="Q30" s="18"/>
      <c r="R30" s="18"/>
      <c r="S30" s="18"/>
    </row>
    <row r="31" spans="1:19" x14ac:dyDescent="0.35">
      <c r="A31" s="3">
        <v>30</v>
      </c>
      <c r="B31" s="3" t="s">
        <v>48</v>
      </c>
      <c r="C31" s="2" t="s">
        <v>50</v>
      </c>
      <c r="D31" s="2" t="s">
        <v>51</v>
      </c>
      <c r="E31" s="10">
        <v>1</v>
      </c>
      <c r="F31" s="10">
        <v>0</v>
      </c>
      <c r="G31" s="3" t="str">
        <f t="shared" si="0"/>
        <v>Ecuador</v>
      </c>
      <c r="L31" s="18"/>
      <c r="M31" s="18"/>
      <c r="N31" s="18"/>
      <c r="O31" s="18"/>
      <c r="P31" s="18"/>
      <c r="Q31" s="18"/>
      <c r="R31" s="18"/>
      <c r="S31" s="18"/>
    </row>
    <row r="32" spans="1:19" x14ac:dyDescent="0.35">
      <c r="A32" s="3">
        <v>31</v>
      </c>
      <c r="B32" s="3" t="s">
        <v>53</v>
      </c>
      <c r="C32" s="2" t="s">
        <v>54</v>
      </c>
      <c r="D32" s="2" t="s">
        <v>55</v>
      </c>
      <c r="E32" s="10">
        <v>1</v>
      </c>
      <c r="F32" s="10">
        <v>2</v>
      </c>
      <c r="G32" s="3" t="str">
        <f t="shared" si="0"/>
        <v>Japan</v>
      </c>
      <c r="L32" s="18"/>
      <c r="M32" s="18"/>
      <c r="N32" s="18"/>
      <c r="O32" s="18"/>
      <c r="P32" s="18"/>
      <c r="Q32" s="18"/>
      <c r="R32" s="18"/>
      <c r="S32" s="18"/>
    </row>
    <row r="33" spans="1:19" x14ac:dyDescent="0.35">
      <c r="A33" s="3">
        <v>32</v>
      </c>
      <c r="B33" s="3" t="s">
        <v>53</v>
      </c>
      <c r="C33" s="2" t="s">
        <v>56</v>
      </c>
      <c r="D33" s="2" t="s">
        <v>57</v>
      </c>
      <c r="E33" s="10">
        <v>1</v>
      </c>
      <c r="F33" s="10">
        <v>1</v>
      </c>
      <c r="G33" s="3" t="str">
        <f t="shared" si="0"/>
        <v>Draw</v>
      </c>
      <c r="L33" s="18"/>
      <c r="M33" s="18"/>
      <c r="N33" s="18"/>
      <c r="O33" s="18"/>
      <c r="P33" s="18"/>
      <c r="Q33" s="18"/>
      <c r="R33" s="18"/>
      <c r="S33" s="18"/>
    </row>
    <row r="34" spans="1:19" x14ac:dyDescent="0.35">
      <c r="A34" s="3">
        <v>33</v>
      </c>
      <c r="B34" s="3" t="s">
        <v>53</v>
      </c>
      <c r="C34" s="2" t="s">
        <v>54</v>
      </c>
      <c r="D34" s="2" t="s">
        <v>56</v>
      </c>
      <c r="E34" s="10">
        <v>2</v>
      </c>
      <c r="F34" s="10">
        <v>0</v>
      </c>
      <c r="G34" s="3" t="str">
        <f t="shared" si="0"/>
        <v>Netherlands</v>
      </c>
      <c r="L34" s="18"/>
      <c r="M34" s="18"/>
      <c r="N34" s="18"/>
      <c r="O34" s="18"/>
      <c r="P34" s="18"/>
      <c r="Q34" s="18"/>
      <c r="R34" s="18"/>
      <c r="S34" s="18"/>
    </row>
    <row r="35" spans="1:19" x14ac:dyDescent="0.35">
      <c r="A35" s="3">
        <v>34</v>
      </c>
      <c r="B35" s="3" t="s">
        <v>53</v>
      </c>
      <c r="C35" s="2" t="s">
        <v>55</v>
      </c>
      <c r="D35" s="2" t="s">
        <v>57</v>
      </c>
      <c r="E35" s="10">
        <v>1</v>
      </c>
      <c r="F35" s="10">
        <v>0</v>
      </c>
      <c r="G35" s="3" t="str">
        <f t="shared" si="0"/>
        <v>Japan</v>
      </c>
      <c r="L35" s="18"/>
      <c r="M35" s="18"/>
      <c r="N35" s="18"/>
      <c r="O35" s="18"/>
      <c r="P35" s="18"/>
      <c r="Q35" s="18"/>
      <c r="R35" s="18"/>
      <c r="S35" s="18"/>
    </row>
    <row r="36" spans="1:19" x14ac:dyDescent="0.35">
      <c r="A36" s="3">
        <v>35</v>
      </c>
      <c r="B36" s="3" t="s">
        <v>53</v>
      </c>
      <c r="C36" s="2" t="s">
        <v>54</v>
      </c>
      <c r="D36" s="2" t="s">
        <v>57</v>
      </c>
      <c r="E36" s="10">
        <v>1</v>
      </c>
      <c r="F36" s="10">
        <v>0</v>
      </c>
      <c r="G36" s="3" t="str">
        <f t="shared" si="0"/>
        <v>Netherlands</v>
      </c>
      <c r="L36" s="18"/>
      <c r="M36" s="18"/>
      <c r="N36" s="18"/>
      <c r="O36" s="18"/>
      <c r="P36" s="18"/>
      <c r="Q36" s="18"/>
      <c r="R36" s="18"/>
      <c r="S36" s="18"/>
    </row>
    <row r="37" spans="1:19" x14ac:dyDescent="0.35">
      <c r="A37" s="3">
        <v>36</v>
      </c>
      <c r="B37" s="3" t="s">
        <v>53</v>
      </c>
      <c r="C37" s="2" t="s">
        <v>55</v>
      </c>
      <c r="D37" s="2" t="s">
        <v>56</v>
      </c>
      <c r="E37" s="10">
        <v>1</v>
      </c>
      <c r="F37" s="10">
        <v>0</v>
      </c>
      <c r="G37" s="3" t="str">
        <f t="shared" si="0"/>
        <v>Japan</v>
      </c>
      <c r="L37" s="18"/>
      <c r="M37" s="18"/>
      <c r="N37" s="18"/>
      <c r="O37" s="18"/>
      <c r="P37" s="18"/>
      <c r="Q37" s="18"/>
      <c r="R37" s="18"/>
      <c r="S37" s="18"/>
    </row>
    <row r="38" spans="1:19" x14ac:dyDescent="0.35">
      <c r="A38" s="3">
        <v>37</v>
      </c>
      <c r="B38" s="3" t="s">
        <v>58</v>
      </c>
      <c r="C38" s="2" t="s">
        <v>59</v>
      </c>
      <c r="D38" s="2" t="s">
        <v>60</v>
      </c>
      <c r="E38" s="10">
        <v>2</v>
      </c>
      <c r="F38" s="10">
        <v>0</v>
      </c>
      <c r="G38" s="3" t="str">
        <f t="shared" si="0"/>
        <v>Belgium</v>
      </c>
      <c r="L38" s="18"/>
      <c r="M38" s="18"/>
      <c r="N38" s="18"/>
      <c r="O38" s="18"/>
      <c r="P38" s="18"/>
      <c r="Q38" s="18"/>
      <c r="R38" s="18"/>
      <c r="S38" s="18"/>
    </row>
    <row r="39" spans="1:19" x14ac:dyDescent="0.35">
      <c r="A39" s="3">
        <v>38</v>
      </c>
      <c r="B39" s="3" t="s">
        <v>58</v>
      </c>
      <c r="C39" s="2" t="s">
        <v>61</v>
      </c>
      <c r="D39" s="2" t="s">
        <v>62</v>
      </c>
      <c r="E39" s="10">
        <v>3</v>
      </c>
      <c r="F39" s="10">
        <v>0</v>
      </c>
      <c r="G39" s="3" t="str">
        <f t="shared" si="0"/>
        <v>Egypt</v>
      </c>
      <c r="L39" s="18"/>
      <c r="M39" s="18"/>
      <c r="N39" s="18"/>
      <c r="O39" s="18"/>
      <c r="P39" s="18"/>
      <c r="Q39" s="18"/>
      <c r="R39" s="18"/>
      <c r="S39" s="18"/>
    </row>
    <row r="40" spans="1:19" x14ac:dyDescent="0.35">
      <c r="A40" s="3">
        <v>39</v>
      </c>
      <c r="B40" s="3" t="s">
        <v>58</v>
      </c>
      <c r="C40" s="2" t="s">
        <v>59</v>
      </c>
      <c r="D40" s="2" t="s">
        <v>61</v>
      </c>
      <c r="E40" s="10">
        <v>1</v>
      </c>
      <c r="F40" s="10">
        <v>1</v>
      </c>
      <c r="G40" s="3" t="str">
        <f t="shared" si="0"/>
        <v>Draw</v>
      </c>
      <c r="L40" s="18"/>
      <c r="M40" s="18"/>
      <c r="N40" s="18"/>
      <c r="O40" s="18"/>
      <c r="P40" s="18"/>
      <c r="Q40" s="18"/>
      <c r="R40" s="18"/>
      <c r="S40" s="18"/>
    </row>
    <row r="41" spans="1:19" x14ac:dyDescent="0.35">
      <c r="A41" s="3">
        <v>40</v>
      </c>
      <c r="B41" s="3" t="s">
        <v>58</v>
      </c>
      <c r="C41" s="2" t="s">
        <v>60</v>
      </c>
      <c r="D41" s="2" t="s">
        <v>62</v>
      </c>
      <c r="E41" s="10">
        <v>2</v>
      </c>
      <c r="F41" s="10">
        <v>0</v>
      </c>
      <c r="G41" s="3" t="str">
        <f t="shared" si="0"/>
        <v>Iran</v>
      </c>
      <c r="L41" s="18"/>
      <c r="M41" s="18"/>
      <c r="N41" s="18"/>
      <c r="O41" s="18"/>
      <c r="P41" s="18"/>
      <c r="Q41" s="18"/>
      <c r="R41" s="18"/>
      <c r="S41" s="18"/>
    </row>
    <row r="42" spans="1:19" x14ac:dyDescent="0.35">
      <c r="A42" s="3">
        <v>41</v>
      </c>
      <c r="B42" s="3" t="s">
        <v>58</v>
      </c>
      <c r="C42" s="2" t="s">
        <v>59</v>
      </c>
      <c r="D42" s="2" t="s">
        <v>62</v>
      </c>
      <c r="E42" s="10">
        <v>3</v>
      </c>
      <c r="F42" s="10">
        <v>0</v>
      </c>
      <c r="G42" s="3" t="str">
        <f t="shared" si="0"/>
        <v>Belgium</v>
      </c>
      <c r="L42" s="18"/>
      <c r="M42" s="18"/>
      <c r="N42" s="18"/>
      <c r="O42" s="18"/>
      <c r="P42" s="18"/>
      <c r="Q42" s="18"/>
      <c r="R42" s="18"/>
      <c r="S42" s="18"/>
    </row>
    <row r="43" spans="1:19" x14ac:dyDescent="0.35">
      <c r="A43" s="3">
        <v>42</v>
      </c>
      <c r="B43" s="3" t="s">
        <v>58</v>
      </c>
      <c r="C43" s="2" t="s">
        <v>60</v>
      </c>
      <c r="D43" s="2" t="s">
        <v>61</v>
      </c>
      <c r="E43" s="10">
        <v>0</v>
      </c>
      <c r="F43" s="10">
        <v>1</v>
      </c>
      <c r="G43" s="3" t="str">
        <f t="shared" si="0"/>
        <v>Egypt</v>
      </c>
      <c r="L43" s="18"/>
      <c r="M43" s="18"/>
      <c r="N43" s="18"/>
      <c r="O43" s="18"/>
      <c r="P43" s="18"/>
      <c r="Q43" s="18"/>
      <c r="R43" s="18"/>
      <c r="S43" s="18"/>
    </row>
    <row r="44" spans="1:19" x14ac:dyDescent="0.35">
      <c r="A44" s="3">
        <v>43</v>
      </c>
      <c r="B44" s="3" t="s">
        <v>63</v>
      </c>
      <c r="C44" s="2" t="s">
        <v>64</v>
      </c>
      <c r="D44" s="2" t="s">
        <v>65</v>
      </c>
      <c r="E44" s="10">
        <v>2</v>
      </c>
      <c r="F44" s="10">
        <v>1</v>
      </c>
      <c r="G44" s="3" t="str">
        <f t="shared" si="0"/>
        <v>Spain</v>
      </c>
      <c r="L44" s="18"/>
      <c r="M44" s="18"/>
      <c r="N44" s="18"/>
      <c r="O44" s="18"/>
      <c r="P44" s="18"/>
      <c r="Q44" s="18"/>
      <c r="R44" s="18"/>
      <c r="S44" s="18"/>
    </row>
    <row r="45" spans="1:19" x14ac:dyDescent="0.35">
      <c r="A45" s="3">
        <v>44</v>
      </c>
      <c r="B45" s="3" t="s">
        <v>63</v>
      </c>
      <c r="C45" s="2" t="s">
        <v>66</v>
      </c>
      <c r="D45" s="2" t="s">
        <v>67</v>
      </c>
      <c r="E45" s="10">
        <v>1</v>
      </c>
      <c r="F45" s="10">
        <v>1</v>
      </c>
      <c r="G45" s="3" t="str">
        <f t="shared" si="0"/>
        <v>Draw</v>
      </c>
      <c r="L45" s="18"/>
      <c r="M45" s="18"/>
      <c r="N45" s="18"/>
      <c r="O45" s="18"/>
      <c r="P45" s="18"/>
      <c r="Q45" s="18"/>
      <c r="R45" s="18"/>
      <c r="S45" s="18"/>
    </row>
    <row r="46" spans="1:19" x14ac:dyDescent="0.35">
      <c r="A46" s="3">
        <v>45</v>
      </c>
      <c r="B46" s="3" t="s">
        <v>63</v>
      </c>
      <c r="C46" s="2" t="s">
        <v>64</v>
      </c>
      <c r="D46" s="2" t="s">
        <v>66</v>
      </c>
      <c r="E46" s="10">
        <v>2</v>
      </c>
      <c r="F46" s="10">
        <v>0</v>
      </c>
      <c r="G46" s="3" t="str">
        <f t="shared" si="0"/>
        <v>Spain</v>
      </c>
      <c r="L46" s="18"/>
      <c r="M46" s="18"/>
      <c r="N46" s="18"/>
      <c r="O46" s="18"/>
      <c r="P46" s="18"/>
      <c r="Q46" s="18"/>
      <c r="R46" s="18"/>
      <c r="S46" s="18"/>
    </row>
    <row r="47" spans="1:19" x14ac:dyDescent="0.35">
      <c r="A47" s="3">
        <v>46</v>
      </c>
      <c r="B47" s="3" t="s">
        <v>63</v>
      </c>
      <c r="C47" s="2" t="s">
        <v>65</v>
      </c>
      <c r="D47" s="2" t="s">
        <v>67</v>
      </c>
      <c r="E47" s="10">
        <v>2</v>
      </c>
      <c r="F47" s="10">
        <v>0</v>
      </c>
      <c r="G47" s="3" t="str">
        <f t="shared" si="0"/>
        <v>Uruguay</v>
      </c>
      <c r="L47" s="18"/>
      <c r="M47" s="18"/>
      <c r="N47" s="18"/>
      <c r="O47" s="18"/>
      <c r="P47" s="18"/>
      <c r="Q47" s="18"/>
      <c r="R47" s="18"/>
      <c r="S47" s="18"/>
    </row>
    <row r="48" spans="1:19" x14ac:dyDescent="0.35">
      <c r="A48" s="3">
        <v>47</v>
      </c>
      <c r="B48" s="3" t="s">
        <v>63</v>
      </c>
      <c r="C48" s="2" t="s">
        <v>64</v>
      </c>
      <c r="D48" s="2" t="s">
        <v>67</v>
      </c>
      <c r="E48" s="10">
        <v>3</v>
      </c>
      <c r="F48" s="10">
        <v>0</v>
      </c>
      <c r="G48" s="3" t="str">
        <f t="shared" si="0"/>
        <v>Spain</v>
      </c>
      <c r="L48" s="18"/>
      <c r="M48" s="18"/>
      <c r="N48" s="18"/>
      <c r="O48" s="18"/>
      <c r="P48" s="18"/>
      <c r="Q48" s="18"/>
      <c r="R48" s="18"/>
      <c r="S48" s="18"/>
    </row>
    <row r="49" spans="1:19" x14ac:dyDescent="0.35">
      <c r="A49" s="3">
        <v>48</v>
      </c>
      <c r="B49" s="3" t="s">
        <v>63</v>
      </c>
      <c r="C49" s="2" t="s">
        <v>65</v>
      </c>
      <c r="D49" s="2" t="s">
        <v>66</v>
      </c>
      <c r="E49" s="10">
        <v>1</v>
      </c>
      <c r="F49" s="10">
        <v>0</v>
      </c>
      <c r="G49" s="3" t="str">
        <f t="shared" si="0"/>
        <v>Uruguay</v>
      </c>
      <c r="L49" s="18"/>
      <c r="M49" s="18"/>
      <c r="N49" s="18"/>
      <c r="O49" s="18"/>
      <c r="P49" s="18"/>
      <c r="Q49" s="18"/>
      <c r="R49" s="18"/>
      <c r="S49" s="18"/>
    </row>
    <row r="50" spans="1:19" x14ac:dyDescent="0.35">
      <c r="A50" s="3">
        <v>49</v>
      </c>
      <c r="B50" s="3" t="s">
        <v>68</v>
      </c>
      <c r="C50" s="2" t="s">
        <v>69</v>
      </c>
      <c r="D50" s="2" t="s">
        <v>70</v>
      </c>
      <c r="E50" s="10">
        <v>1</v>
      </c>
      <c r="F50" s="10">
        <v>0</v>
      </c>
      <c r="G50" s="3" t="str">
        <f t="shared" si="0"/>
        <v>France</v>
      </c>
      <c r="L50" s="18"/>
      <c r="M50" s="18"/>
      <c r="N50" s="18"/>
      <c r="O50" s="18"/>
      <c r="P50" s="18"/>
      <c r="Q50" s="18"/>
      <c r="R50" s="18"/>
      <c r="S50" s="18"/>
    </row>
    <row r="51" spans="1:19" x14ac:dyDescent="0.35">
      <c r="A51" s="3">
        <v>50</v>
      </c>
      <c r="B51" s="3" t="s">
        <v>68</v>
      </c>
      <c r="C51" s="2" t="s">
        <v>71</v>
      </c>
      <c r="D51" s="2" t="s">
        <v>72</v>
      </c>
      <c r="E51" s="10">
        <v>3</v>
      </c>
      <c r="F51" s="10">
        <v>0</v>
      </c>
      <c r="G51" s="3" t="str">
        <f t="shared" si="0"/>
        <v>Norway</v>
      </c>
      <c r="L51" s="18"/>
      <c r="M51" s="18"/>
      <c r="N51" s="18"/>
      <c r="O51" s="18"/>
      <c r="P51" s="18"/>
      <c r="Q51" s="18"/>
      <c r="R51" s="18"/>
      <c r="S51" s="18"/>
    </row>
    <row r="52" spans="1:19" x14ac:dyDescent="0.35">
      <c r="A52" s="3">
        <v>51</v>
      </c>
      <c r="B52" s="3" t="s">
        <v>68</v>
      </c>
      <c r="C52" s="2" t="s">
        <v>69</v>
      </c>
      <c r="D52" s="2" t="s">
        <v>71</v>
      </c>
      <c r="E52" s="10">
        <v>1</v>
      </c>
      <c r="F52" s="10">
        <v>2</v>
      </c>
      <c r="G52" s="3" t="str">
        <f t="shared" si="0"/>
        <v>Norway</v>
      </c>
      <c r="L52" s="18"/>
      <c r="M52" s="18"/>
      <c r="N52" s="18"/>
      <c r="O52" s="18"/>
      <c r="P52" s="18"/>
      <c r="Q52" s="18"/>
      <c r="R52" s="18"/>
      <c r="S52" s="18"/>
    </row>
    <row r="53" spans="1:19" x14ac:dyDescent="0.35">
      <c r="A53" s="3">
        <v>52</v>
      </c>
      <c r="B53" s="3" t="s">
        <v>68</v>
      </c>
      <c r="C53" s="2" t="s">
        <v>70</v>
      </c>
      <c r="D53" s="2" t="s">
        <v>72</v>
      </c>
      <c r="E53" s="10">
        <v>1</v>
      </c>
      <c r="F53" s="10">
        <v>0</v>
      </c>
      <c r="G53" s="3" t="str">
        <f t="shared" si="0"/>
        <v>Senegal</v>
      </c>
      <c r="L53" s="18"/>
      <c r="M53" s="18"/>
      <c r="N53" s="18"/>
      <c r="O53" s="18"/>
      <c r="P53" s="18"/>
      <c r="Q53" s="18"/>
      <c r="R53" s="18"/>
      <c r="S53" s="18"/>
    </row>
    <row r="54" spans="1:19" x14ac:dyDescent="0.35">
      <c r="A54" s="3">
        <v>53</v>
      </c>
      <c r="B54" s="3" t="s">
        <v>68</v>
      </c>
      <c r="C54" s="2" t="s">
        <v>69</v>
      </c>
      <c r="D54" s="2" t="s">
        <v>72</v>
      </c>
      <c r="E54" s="10">
        <v>3</v>
      </c>
      <c r="F54" s="10">
        <v>0</v>
      </c>
      <c r="G54" s="3" t="str">
        <f t="shared" si="0"/>
        <v>France</v>
      </c>
      <c r="L54" s="18"/>
      <c r="M54" s="18"/>
      <c r="N54" s="18"/>
      <c r="O54" s="18"/>
      <c r="P54" s="18"/>
      <c r="Q54" s="18"/>
      <c r="R54" s="18"/>
      <c r="S54" s="18"/>
    </row>
    <row r="55" spans="1:19" x14ac:dyDescent="0.35">
      <c r="A55" s="3">
        <v>54</v>
      </c>
      <c r="B55" s="3" t="s">
        <v>68</v>
      </c>
      <c r="C55" s="2" t="s">
        <v>70</v>
      </c>
      <c r="D55" s="2" t="s">
        <v>71</v>
      </c>
      <c r="E55" s="10">
        <v>1</v>
      </c>
      <c r="F55" s="10">
        <v>2</v>
      </c>
      <c r="G55" s="3" t="str">
        <f t="shared" si="0"/>
        <v>Norway</v>
      </c>
      <c r="L55" s="18"/>
      <c r="M55" s="18"/>
      <c r="N55" s="18"/>
      <c r="O55" s="18"/>
      <c r="P55" s="18"/>
      <c r="Q55" s="18"/>
      <c r="R55" s="18"/>
      <c r="S55" s="18"/>
    </row>
    <row r="56" spans="1:19" x14ac:dyDescent="0.35">
      <c r="A56" s="3">
        <v>55</v>
      </c>
      <c r="B56" s="3" t="s">
        <v>73</v>
      </c>
      <c r="C56" s="2" t="s">
        <v>74</v>
      </c>
      <c r="D56" s="2" t="s">
        <v>75</v>
      </c>
      <c r="E56" s="10">
        <v>2</v>
      </c>
      <c r="F56" s="10">
        <v>1</v>
      </c>
      <c r="G56" s="3" t="str">
        <f t="shared" si="0"/>
        <v>Argentina</v>
      </c>
    </row>
    <row r="57" spans="1:19" x14ac:dyDescent="0.35">
      <c r="A57" s="3">
        <v>56</v>
      </c>
      <c r="B57" s="3" t="s">
        <v>73</v>
      </c>
      <c r="C57" s="2" t="s">
        <v>76</v>
      </c>
      <c r="D57" s="2" t="s">
        <v>77</v>
      </c>
      <c r="E57" s="10">
        <v>1</v>
      </c>
      <c r="F57" s="10">
        <v>1</v>
      </c>
      <c r="G57" s="3" t="str">
        <f t="shared" si="0"/>
        <v>Draw</v>
      </c>
    </row>
    <row r="58" spans="1:19" x14ac:dyDescent="0.35">
      <c r="A58" s="3">
        <v>57</v>
      </c>
      <c r="B58" s="3" t="s">
        <v>73</v>
      </c>
      <c r="C58" s="2" t="s">
        <v>74</v>
      </c>
      <c r="D58" s="2" t="s">
        <v>76</v>
      </c>
      <c r="E58" s="10">
        <v>1</v>
      </c>
      <c r="F58" s="10">
        <v>0</v>
      </c>
      <c r="G58" s="3" t="str">
        <f t="shared" si="0"/>
        <v>Argentina</v>
      </c>
    </row>
    <row r="59" spans="1:19" x14ac:dyDescent="0.35">
      <c r="A59" s="3">
        <v>58</v>
      </c>
      <c r="B59" s="3" t="s">
        <v>73</v>
      </c>
      <c r="C59" s="2" t="s">
        <v>75</v>
      </c>
      <c r="D59" s="2" t="s">
        <v>77</v>
      </c>
      <c r="E59" s="10">
        <v>1</v>
      </c>
      <c r="F59" s="10">
        <v>0</v>
      </c>
      <c r="G59" s="3" t="str">
        <f t="shared" si="0"/>
        <v>Austria</v>
      </c>
    </row>
    <row r="60" spans="1:19" x14ac:dyDescent="0.35">
      <c r="A60" s="3">
        <v>59</v>
      </c>
      <c r="B60" s="3" t="s">
        <v>73</v>
      </c>
      <c r="C60" s="2" t="s">
        <v>74</v>
      </c>
      <c r="D60" s="2" t="s">
        <v>77</v>
      </c>
      <c r="E60" s="10">
        <v>2</v>
      </c>
      <c r="F60" s="10">
        <v>0</v>
      </c>
      <c r="G60" s="3" t="str">
        <f t="shared" si="0"/>
        <v>Argentina</v>
      </c>
    </row>
    <row r="61" spans="1:19" x14ac:dyDescent="0.35">
      <c r="A61" s="3">
        <v>60</v>
      </c>
      <c r="B61" s="3" t="s">
        <v>73</v>
      </c>
      <c r="C61" s="2" t="s">
        <v>75</v>
      </c>
      <c r="D61" s="2" t="s">
        <v>76</v>
      </c>
      <c r="E61" s="10">
        <v>1</v>
      </c>
      <c r="F61" s="10">
        <v>1</v>
      </c>
      <c r="G61" s="3" t="str">
        <f t="shared" si="0"/>
        <v>Draw</v>
      </c>
    </row>
    <row r="62" spans="1:19" x14ac:dyDescent="0.35">
      <c r="A62" s="3">
        <v>61</v>
      </c>
      <c r="B62" s="3" t="s">
        <v>78</v>
      </c>
      <c r="C62" s="2" t="s">
        <v>79</v>
      </c>
      <c r="D62" s="2" t="s">
        <v>80</v>
      </c>
      <c r="E62" s="10">
        <v>2</v>
      </c>
      <c r="F62" s="10">
        <v>1</v>
      </c>
      <c r="G62" s="3" t="str">
        <f t="shared" si="0"/>
        <v>Portugal</v>
      </c>
    </row>
    <row r="63" spans="1:19" x14ac:dyDescent="0.35">
      <c r="A63" s="3">
        <v>62</v>
      </c>
      <c r="B63" s="3" t="s">
        <v>78</v>
      </c>
      <c r="C63" s="2" t="s">
        <v>81</v>
      </c>
      <c r="D63" s="2" t="s">
        <v>82</v>
      </c>
      <c r="E63" s="10">
        <v>1</v>
      </c>
      <c r="F63" s="10">
        <v>1</v>
      </c>
      <c r="G63" s="3" t="str">
        <f t="shared" si="0"/>
        <v>Draw</v>
      </c>
    </row>
    <row r="64" spans="1:19" x14ac:dyDescent="0.35">
      <c r="A64" s="3">
        <v>63</v>
      </c>
      <c r="B64" s="3" t="s">
        <v>78</v>
      </c>
      <c r="C64" s="2" t="s">
        <v>79</v>
      </c>
      <c r="D64" s="2" t="s">
        <v>81</v>
      </c>
      <c r="E64" s="10">
        <v>2</v>
      </c>
      <c r="F64" s="10">
        <v>0</v>
      </c>
      <c r="G64" s="3" t="str">
        <f t="shared" si="0"/>
        <v>Portugal</v>
      </c>
    </row>
    <row r="65" spans="1:7" x14ac:dyDescent="0.35">
      <c r="A65" s="3">
        <v>64</v>
      </c>
      <c r="B65" s="3" t="s">
        <v>78</v>
      </c>
      <c r="C65" s="2" t="s">
        <v>80</v>
      </c>
      <c r="D65" s="2" t="s">
        <v>82</v>
      </c>
      <c r="E65" s="10">
        <v>1</v>
      </c>
      <c r="F65" s="10">
        <v>0</v>
      </c>
      <c r="G65" s="3" t="str">
        <f t="shared" si="0"/>
        <v>Colombia</v>
      </c>
    </row>
    <row r="66" spans="1:7" x14ac:dyDescent="0.35">
      <c r="A66" s="3">
        <v>65</v>
      </c>
      <c r="B66" s="3" t="s">
        <v>78</v>
      </c>
      <c r="C66" s="2" t="s">
        <v>79</v>
      </c>
      <c r="D66" s="2" t="s">
        <v>82</v>
      </c>
      <c r="E66" s="10">
        <v>1</v>
      </c>
      <c r="F66" s="10">
        <v>0</v>
      </c>
      <c r="G66" s="3" t="str">
        <f t="shared" si="0"/>
        <v>Portugal</v>
      </c>
    </row>
    <row r="67" spans="1:7" x14ac:dyDescent="0.35">
      <c r="A67" s="3">
        <v>66</v>
      </c>
      <c r="B67" s="3" t="s">
        <v>78</v>
      </c>
      <c r="C67" s="2" t="s">
        <v>80</v>
      </c>
      <c r="D67" s="2" t="s">
        <v>81</v>
      </c>
      <c r="E67" s="10">
        <v>1</v>
      </c>
      <c r="F67" s="10">
        <v>0</v>
      </c>
      <c r="G67" s="3" t="str">
        <f t="shared" ref="G67:G73" si="1">IF(AND(E67&lt;&gt;"",F67&lt;&gt;""),IF(E67&gt;F67,C67,IF(E67&lt;F67,D67,"Draw")),"")</f>
        <v>Colombia</v>
      </c>
    </row>
    <row r="68" spans="1:7" x14ac:dyDescent="0.35">
      <c r="A68" s="3">
        <v>67</v>
      </c>
      <c r="B68" s="3" t="s">
        <v>83</v>
      </c>
      <c r="C68" s="2" t="s">
        <v>84</v>
      </c>
      <c r="D68" s="2" t="s">
        <v>85</v>
      </c>
      <c r="E68" s="10">
        <v>2</v>
      </c>
      <c r="F68" s="10">
        <v>1</v>
      </c>
      <c r="G68" s="3" t="str">
        <f t="shared" si="1"/>
        <v>England</v>
      </c>
    </row>
    <row r="69" spans="1:7" x14ac:dyDescent="0.35">
      <c r="A69" s="3">
        <v>68</v>
      </c>
      <c r="B69" s="3" t="s">
        <v>83</v>
      </c>
      <c r="C69" s="2" t="s">
        <v>86</v>
      </c>
      <c r="D69" s="2" t="s">
        <v>87</v>
      </c>
      <c r="E69" s="10">
        <v>1</v>
      </c>
      <c r="F69" s="10">
        <v>1</v>
      </c>
      <c r="G69" s="3" t="str">
        <f t="shared" si="1"/>
        <v>Draw</v>
      </c>
    </row>
    <row r="70" spans="1:7" x14ac:dyDescent="0.35">
      <c r="A70" s="3">
        <v>69</v>
      </c>
      <c r="B70" s="3" t="s">
        <v>83</v>
      </c>
      <c r="C70" s="2" t="s">
        <v>84</v>
      </c>
      <c r="D70" s="2" t="s">
        <v>86</v>
      </c>
      <c r="E70" s="10">
        <v>1</v>
      </c>
      <c r="F70" s="10">
        <v>0</v>
      </c>
      <c r="G70" s="3" t="str">
        <f t="shared" si="1"/>
        <v>England</v>
      </c>
    </row>
    <row r="71" spans="1:7" x14ac:dyDescent="0.35">
      <c r="A71" s="3">
        <v>70</v>
      </c>
      <c r="B71" s="3" t="s">
        <v>83</v>
      </c>
      <c r="C71" s="2" t="s">
        <v>85</v>
      </c>
      <c r="D71" s="2" t="s">
        <v>87</v>
      </c>
      <c r="E71" s="10">
        <v>1</v>
      </c>
      <c r="F71" s="10">
        <v>0</v>
      </c>
      <c r="G71" s="3" t="str">
        <f t="shared" si="1"/>
        <v>Croatia</v>
      </c>
    </row>
    <row r="72" spans="1:7" x14ac:dyDescent="0.35">
      <c r="A72" s="3">
        <v>71</v>
      </c>
      <c r="B72" s="3" t="s">
        <v>83</v>
      </c>
      <c r="C72" s="2" t="s">
        <v>84</v>
      </c>
      <c r="D72" s="2" t="s">
        <v>87</v>
      </c>
      <c r="E72" s="10">
        <v>1</v>
      </c>
      <c r="F72" s="10">
        <v>0</v>
      </c>
      <c r="G72" s="3" t="str">
        <f t="shared" si="1"/>
        <v>England</v>
      </c>
    </row>
    <row r="73" spans="1:7" x14ac:dyDescent="0.35">
      <c r="A73" s="3">
        <v>72</v>
      </c>
      <c r="B73" s="3" t="s">
        <v>83</v>
      </c>
      <c r="C73" s="2" t="s">
        <v>85</v>
      </c>
      <c r="D73" s="2" t="s">
        <v>86</v>
      </c>
      <c r="E73" s="10">
        <v>1</v>
      </c>
      <c r="F73" s="10">
        <v>0</v>
      </c>
      <c r="G73" s="3" t="str">
        <f t="shared" si="1"/>
        <v>Croatia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zoomScaleNormal="100" workbookViewId="0">
      <pane ySplit="1" topLeftCell="A12" activePane="bottomLeft" state="frozen"/>
      <selection pane="bottomLeft" activeCell="E36" sqref="E36"/>
    </sheetView>
  </sheetViews>
  <sheetFormatPr defaultColWidth="8.6328125" defaultRowHeight="14.5" x14ac:dyDescent="0.35"/>
  <cols>
    <col min="1" max="1" width="18" customWidth="1"/>
    <col min="2" max="3" width="8" customWidth="1"/>
    <col min="4" max="4" width="16" customWidth="1"/>
    <col min="5" max="5" width="12" customWidth="1"/>
    <col min="6" max="6" width="14" customWidth="1"/>
    <col min="7" max="7" width="12" customWidth="1"/>
    <col min="8" max="9" width="9" customWidth="1"/>
  </cols>
  <sheetData>
    <row r="1" spans="1:9" x14ac:dyDescent="0.35">
      <c r="A1" s="1" t="s">
        <v>88</v>
      </c>
      <c r="B1" s="1" t="s">
        <v>89</v>
      </c>
      <c r="C1" s="1" t="s">
        <v>20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 x14ac:dyDescent="0.35">
      <c r="A2" s="2" t="s">
        <v>27</v>
      </c>
      <c r="B2" s="3" t="str">
        <f t="shared" ref="B2:B49" si="0">C2&amp;D2</f>
        <v>A1</v>
      </c>
      <c r="C2" s="3" t="s">
        <v>26</v>
      </c>
      <c r="D2" s="10">
        <v>1</v>
      </c>
      <c r="E2" s="10">
        <v>1</v>
      </c>
      <c r="F2" s="10"/>
      <c r="G2" s="10"/>
      <c r="H2" s="10"/>
      <c r="I2" s="10"/>
    </row>
    <row r="3" spans="1:9" x14ac:dyDescent="0.35">
      <c r="A3" s="2" t="s">
        <v>28</v>
      </c>
      <c r="B3" s="3" t="str">
        <f t="shared" si="0"/>
        <v>A2</v>
      </c>
      <c r="C3" s="3" t="s">
        <v>26</v>
      </c>
      <c r="D3" s="10">
        <v>2</v>
      </c>
      <c r="E3" s="10">
        <v>1</v>
      </c>
      <c r="F3" s="10"/>
      <c r="G3" s="10"/>
      <c r="H3" s="10"/>
      <c r="I3" s="10"/>
    </row>
    <row r="4" spans="1:9" x14ac:dyDescent="0.35">
      <c r="A4" s="2" t="s">
        <v>29</v>
      </c>
      <c r="B4" s="3" t="str">
        <f t="shared" si="0"/>
        <v>A4</v>
      </c>
      <c r="C4" s="3" t="s">
        <v>26</v>
      </c>
      <c r="D4" s="10">
        <v>4</v>
      </c>
      <c r="E4" s="10"/>
      <c r="F4" s="10"/>
      <c r="G4" s="10"/>
      <c r="H4" s="10"/>
      <c r="I4" s="10"/>
    </row>
    <row r="5" spans="1:9" x14ac:dyDescent="0.35">
      <c r="A5" s="2" t="s">
        <v>30</v>
      </c>
      <c r="B5" s="3" t="str">
        <f t="shared" si="0"/>
        <v>A3</v>
      </c>
      <c r="C5" s="3" t="s">
        <v>26</v>
      </c>
      <c r="D5" s="10">
        <v>3</v>
      </c>
      <c r="E5" s="10"/>
      <c r="F5" s="10"/>
      <c r="G5" s="10"/>
      <c r="H5" s="10"/>
      <c r="I5" s="10"/>
    </row>
    <row r="6" spans="1:9" x14ac:dyDescent="0.35">
      <c r="A6" s="2" t="s">
        <v>34</v>
      </c>
      <c r="B6" s="3" t="str">
        <f t="shared" si="0"/>
        <v>B1</v>
      </c>
      <c r="C6" s="3" t="s">
        <v>33</v>
      </c>
      <c r="D6" s="10">
        <v>1</v>
      </c>
      <c r="E6" s="10">
        <v>1</v>
      </c>
      <c r="F6" s="10"/>
      <c r="G6" s="10"/>
      <c r="H6" s="10"/>
      <c r="I6" s="10"/>
    </row>
    <row r="7" spans="1:9" x14ac:dyDescent="0.35">
      <c r="A7" s="2" t="s">
        <v>35</v>
      </c>
      <c r="B7" s="3" t="str">
        <f t="shared" si="0"/>
        <v>B2</v>
      </c>
      <c r="C7" s="3" t="s">
        <v>33</v>
      </c>
      <c r="D7" s="10">
        <v>2</v>
      </c>
      <c r="E7" s="10"/>
      <c r="F7" s="10"/>
      <c r="G7" s="10"/>
      <c r="H7" s="10"/>
      <c r="I7" s="10"/>
    </row>
    <row r="8" spans="1:9" x14ac:dyDescent="0.35">
      <c r="A8" s="2" t="s">
        <v>36</v>
      </c>
      <c r="B8" s="3" t="str">
        <f t="shared" si="0"/>
        <v>B4</v>
      </c>
      <c r="C8" s="3" t="s">
        <v>33</v>
      </c>
      <c r="D8" s="10">
        <v>4</v>
      </c>
      <c r="E8" s="10"/>
      <c r="F8" s="10"/>
      <c r="G8" s="10"/>
      <c r="H8" s="10"/>
      <c r="I8" s="10"/>
    </row>
    <row r="9" spans="1:9" x14ac:dyDescent="0.35">
      <c r="A9" s="2" t="s">
        <v>37</v>
      </c>
      <c r="B9" s="3" t="str">
        <f t="shared" si="0"/>
        <v>B3</v>
      </c>
      <c r="C9" s="3" t="s">
        <v>33</v>
      </c>
      <c r="D9" s="10">
        <v>3</v>
      </c>
      <c r="E9" s="10"/>
      <c r="F9" s="10"/>
      <c r="G9" s="10"/>
      <c r="H9" s="10"/>
      <c r="I9" s="10"/>
    </row>
    <row r="10" spans="1:9" x14ac:dyDescent="0.35">
      <c r="A10" s="2" t="s">
        <v>39</v>
      </c>
      <c r="B10" s="3" t="str">
        <f t="shared" si="0"/>
        <v>C1</v>
      </c>
      <c r="C10" s="3" t="s">
        <v>38</v>
      </c>
      <c r="D10" s="10">
        <v>1</v>
      </c>
      <c r="E10" s="10">
        <v>1</v>
      </c>
      <c r="F10" s="10"/>
      <c r="G10" s="10"/>
      <c r="H10" s="10"/>
      <c r="I10" s="10"/>
    </row>
    <row r="11" spans="1:9" x14ac:dyDescent="0.35">
      <c r="A11" s="2" t="s">
        <v>40</v>
      </c>
      <c r="B11" s="3" t="str">
        <f t="shared" si="0"/>
        <v>C2</v>
      </c>
      <c r="C11" s="3" t="s">
        <v>38</v>
      </c>
      <c r="D11" s="10">
        <v>2</v>
      </c>
      <c r="E11" s="10"/>
      <c r="F11" s="10"/>
      <c r="G11" s="10"/>
      <c r="H11" s="10"/>
      <c r="I11" s="10"/>
    </row>
    <row r="12" spans="1:9" x14ac:dyDescent="0.35">
      <c r="A12" s="2" t="s">
        <v>41</v>
      </c>
      <c r="B12" s="3" t="str">
        <f t="shared" si="0"/>
        <v>C3</v>
      </c>
      <c r="C12" s="3" t="s">
        <v>38</v>
      </c>
      <c r="D12" s="10">
        <v>3</v>
      </c>
      <c r="E12" s="10"/>
      <c r="F12" s="10"/>
      <c r="G12" s="10"/>
      <c r="H12" s="10"/>
      <c r="I12" s="10"/>
    </row>
    <row r="13" spans="1:9" x14ac:dyDescent="0.35">
      <c r="A13" s="2" t="s">
        <v>42</v>
      </c>
      <c r="B13" s="3" t="str">
        <f t="shared" si="0"/>
        <v>C4</v>
      </c>
      <c r="C13" s="3" t="s">
        <v>38</v>
      </c>
      <c r="D13" s="10">
        <v>4</v>
      </c>
      <c r="E13" s="10"/>
      <c r="F13" s="10"/>
      <c r="G13" s="10"/>
      <c r="H13" s="10"/>
      <c r="I13" s="10"/>
    </row>
    <row r="14" spans="1:9" x14ac:dyDescent="0.35">
      <c r="A14" s="2" t="s">
        <v>44</v>
      </c>
      <c r="B14" s="3" t="str">
        <f t="shared" si="0"/>
        <v>D1</v>
      </c>
      <c r="C14" s="3" t="s">
        <v>43</v>
      </c>
      <c r="D14" s="10">
        <v>1</v>
      </c>
      <c r="E14" s="10">
        <v>1</v>
      </c>
      <c r="F14" s="10">
        <v>1</v>
      </c>
      <c r="G14" s="10"/>
      <c r="H14" s="10"/>
      <c r="I14" s="10"/>
    </row>
    <row r="15" spans="1:9" x14ac:dyDescent="0.35">
      <c r="A15" s="2" t="s">
        <v>45</v>
      </c>
      <c r="B15" s="3" t="str">
        <f t="shared" si="0"/>
        <v>D4</v>
      </c>
      <c r="C15" s="3" t="s">
        <v>43</v>
      </c>
      <c r="D15" s="10">
        <v>4</v>
      </c>
      <c r="E15" s="10"/>
      <c r="F15" s="10"/>
      <c r="G15" s="10"/>
      <c r="H15" s="10"/>
      <c r="I15" s="10"/>
    </row>
    <row r="16" spans="1:9" x14ac:dyDescent="0.35">
      <c r="A16" s="2" t="s">
        <v>46</v>
      </c>
      <c r="B16" s="3" t="str">
        <f t="shared" si="0"/>
        <v>D2</v>
      </c>
      <c r="C16" s="3" t="s">
        <v>43</v>
      </c>
      <c r="D16" s="10">
        <v>2</v>
      </c>
      <c r="E16" s="10">
        <v>1</v>
      </c>
      <c r="F16" s="10"/>
      <c r="G16" s="10"/>
      <c r="H16" s="10"/>
      <c r="I16" s="10"/>
    </row>
    <row r="17" spans="1:9" x14ac:dyDescent="0.35">
      <c r="A17" s="2" t="s">
        <v>47</v>
      </c>
      <c r="B17" s="3" t="str">
        <f t="shared" si="0"/>
        <v>D3</v>
      </c>
      <c r="C17" s="3" t="s">
        <v>43</v>
      </c>
      <c r="D17" s="10">
        <v>3</v>
      </c>
      <c r="E17" s="10"/>
      <c r="F17" s="10"/>
      <c r="G17" s="10"/>
      <c r="H17" s="10"/>
      <c r="I17" s="10"/>
    </row>
    <row r="18" spans="1:9" x14ac:dyDescent="0.35">
      <c r="A18" s="2" t="s">
        <v>49</v>
      </c>
      <c r="B18" s="3" t="str">
        <f t="shared" si="0"/>
        <v>E1</v>
      </c>
      <c r="C18" s="3" t="s">
        <v>48</v>
      </c>
      <c r="D18" s="10">
        <v>1</v>
      </c>
      <c r="E18" s="10">
        <v>1</v>
      </c>
      <c r="F18" s="10"/>
      <c r="G18" s="10"/>
      <c r="H18" s="10"/>
      <c r="I18" s="10"/>
    </row>
    <row r="19" spans="1:9" x14ac:dyDescent="0.35">
      <c r="A19" s="2" t="s">
        <v>50</v>
      </c>
      <c r="B19" s="3" t="str">
        <f t="shared" si="0"/>
        <v>E2</v>
      </c>
      <c r="C19" s="3" t="s">
        <v>48</v>
      </c>
      <c r="D19" s="10">
        <v>2</v>
      </c>
      <c r="E19" s="10"/>
      <c r="F19" s="10"/>
      <c r="G19" s="10"/>
      <c r="H19" s="10"/>
      <c r="I19" s="10"/>
    </row>
    <row r="20" spans="1:9" x14ac:dyDescent="0.35">
      <c r="A20" s="2" t="s">
        <v>51</v>
      </c>
      <c r="B20" s="3" t="str">
        <f t="shared" si="0"/>
        <v>E3</v>
      </c>
      <c r="C20" s="3" t="s">
        <v>48</v>
      </c>
      <c r="D20" s="10">
        <v>3</v>
      </c>
      <c r="E20" s="10"/>
      <c r="F20" s="10"/>
      <c r="G20" s="10"/>
      <c r="H20" s="10"/>
      <c r="I20" s="10"/>
    </row>
    <row r="21" spans="1:9" x14ac:dyDescent="0.35">
      <c r="A21" s="2" t="s">
        <v>52</v>
      </c>
      <c r="B21" s="3" t="str">
        <f t="shared" si="0"/>
        <v>E4</v>
      </c>
      <c r="C21" s="3" t="s">
        <v>48</v>
      </c>
      <c r="D21" s="10">
        <v>4</v>
      </c>
      <c r="E21" s="10"/>
      <c r="F21" s="10"/>
      <c r="G21" s="10"/>
      <c r="H21" s="10"/>
      <c r="I21" s="10"/>
    </row>
    <row r="22" spans="1:9" x14ac:dyDescent="0.35">
      <c r="A22" s="2" t="s">
        <v>54</v>
      </c>
      <c r="B22" s="3" t="str">
        <f t="shared" si="0"/>
        <v>F2</v>
      </c>
      <c r="C22" s="3" t="s">
        <v>53</v>
      </c>
      <c r="D22" s="10">
        <v>2</v>
      </c>
      <c r="E22" s="10"/>
      <c r="F22" s="10"/>
      <c r="G22" s="10"/>
      <c r="H22" s="10"/>
      <c r="I22" s="10"/>
    </row>
    <row r="23" spans="1:9" x14ac:dyDescent="0.35">
      <c r="A23" s="2" t="s">
        <v>55</v>
      </c>
      <c r="B23" s="3" t="str">
        <f t="shared" si="0"/>
        <v>F1</v>
      </c>
      <c r="C23" s="3" t="s">
        <v>53</v>
      </c>
      <c r="D23" s="10">
        <v>1</v>
      </c>
      <c r="E23" s="10">
        <v>1</v>
      </c>
      <c r="F23" s="10">
        <v>1</v>
      </c>
      <c r="G23" s="10"/>
      <c r="H23" s="10"/>
      <c r="I23" s="10"/>
    </row>
    <row r="24" spans="1:9" x14ac:dyDescent="0.35">
      <c r="A24" s="2" t="s">
        <v>56</v>
      </c>
      <c r="B24" s="3" t="str">
        <f t="shared" si="0"/>
        <v>F3</v>
      </c>
      <c r="C24" s="3" t="s">
        <v>53</v>
      </c>
      <c r="D24" s="10">
        <v>3</v>
      </c>
      <c r="E24" s="10"/>
      <c r="F24" s="10"/>
      <c r="G24" s="10"/>
      <c r="H24" s="10"/>
      <c r="I24" s="10"/>
    </row>
    <row r="25" spans="1:9" x14ac:dyDescent="0.35">
      <c r="A25" s="2" t="s">
        <v>57</v>
      </c>
      <c r="B25" s="3" t="str">
        <f t="shared" si="0"/>
        <v>F4</v>
      </c>
      <c r="C25" s="3" t="s">
        <v>53</v>
      </c>
      <c r="D25" s="10">
        <v>4</v>
      </c>
      <c r="E25" s="10"/>
      <c r="F25" s="10"/>
      <c r="G25" s="10"/>
      <c r="H25" s="10"/>
      <c r="I25" s="10"/>
    </row>
    <row r="26" spans="1:9" x14ac:dyDescent="0.35">
      <c r="A26" s="2" t="s">
        <v>59</v>
      </c>
      <c r="B26" s="3" t="str">
        <f t="shared" si="0"/>
        <v>G1</v>
      </c>
      <c r="C26" s="3" t="s">
        <v>58</v>
      </c>
      <c r="D26" s="10">
        <v>1</v>
      </c>
      <c r="E26" s="10">
        <v>1</v>
      </c>
      <c r="F26" s="10"/>
      <c r="G26" s="10"/>
      <c r="H26" s="10"/>
      <c r="I26" s="10"/>
    </row>
    <row r="27" spans="1:9" x14ac:dyDescent="0.35">
      <c r="A27" s="2" t="s">
        <v>60</v>
      </c>
      <c r="B27" s="3" t="str">
        <f t="shared" si="0"/>
        <v>G3</v>
      </c>
      <c r="C27" s="3" t="s">
        <v>58</v>
      </c>
      <c r="D27" s="10">
        <v>3</v>
      </c>
      <c r="E27" s="10"/>
      <c r="F27" s="10"/>
      <c r="G27" s="10"/>
      <c r="H27" s="10"/>
      <c r="I27" s="10"/>
    </row>
    <row r="28" spans="1:9" x14ac:dyDescent="0.35">
      <c r="A28" s="2" t="s">
        <v>61</v>
      </c>
      <c r="B28" s="3" t="str">
        <f t="shared" si="0"/>
        <v>G2</v>
      </c>
      <c r="C28" s="3" t="s">
        <v>58</v>
      </c>
      <c r="D28" s="10">
        <v>2</v>
      </c>
      <c r="E28" s="10"/>
      <c r="F28" s="10"/>
      <c r="G28" s="10"/>
      <c r="H28" s="10"/>
      <c r="I28" s="10"/>
    </row>
    <row r="29" spans="1:9" x14ac:dyDescent="0.35">
      <c r="A29" s="2" t="s">
        <v>62</v>
      </c>
      <c r="B29" s="3" t="str">
        <f t="shared" si="0"/>
        <v>G4</v>
      </c>
      <c r="C29" s="3" t="s">
        <v>58</v>
      </c>
      <c r="D29" s="10">
        <v>4</v>
      </c>
      <c r="E29" s="10"/>
      <c r="F29" s="10"/>
      <c r="G29" s="10"/>
      <c r="H29" s="10"/>
      <c r="I29" s="10"/>
    </row>
    <row r="30" spans="1:9" x14ac:dyDescent="0.35">
      <c r="A30" s="2" t="s">
        <v>64</v>
      </c>
      <c r="B30" s="3" t="str">
        <f t="shared" si="0"/>
        <v>H1</v>
      </c>
      <c r="C30" s="3" t="s">
        <v>63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</row>
    <row r="31" spans="1:9" x14ac:dyDescent="0.35">
      <c r="A31" s="2" t="s">
        <v>65</v>
      </c>
      <c r="B31" s="3" t="str">
        <f t="shared" si="0"/>
        <v>H2</v>
      </c>
      <c r="C31" s="3" t="s">
        <v>63</v>
      </c>
      <c r="D31" s="10">
        <v>2</v>
      </c>
      <c r="E31" s="10"/>
      <c r="F31" s="10"/>
      <c r="G31" s="10"/>
      <c r="H31" s="10"/>
      <c r="I31" s="10"/>
    </row>
    <row r="32" spans="1:9" x14ac:dyDescent="0.35">
      <c r="A32" s="2" t="s">
        <v>66</v>
      </c>
      <c r="B32" s="3" t="str">
        <f t="shared" si="0"/>
        <v>H3</v>
      </c>
      <c r="C32" s="3" t="s">
        <v>63</v>
      </c>
      <c r="D32" s="10">
        <v>3</v>
      </c>
      <c r="E32" s="10"/>
      <c r="F32" s="10"/>
      <c r="G32" s="10"/>
      <c r="H32" s="10"/>
      <c r="I32" s="10"/>
    </row>
    <row r="33" spans="1:9" x14ac:dyDescent="0.35">
      <c r="A33" s="2" t="s">
        <v>67</v>
      </c>
      <c r="B33" s="3" t="str">
        <f t="shared" si="0"/>
        <v>H4</v>
      </c>
      <c r="C33" s="3" t="s">
        <v>63</v>
      </c>
      <c r="D33" s="10">
        <v>4</v>
      </c>
      <c r="E33" s="10"/>
      <c r="F33" s="10"/>
      <c r="G33" s="10"/>
      <c r="H33" s="10"/>
      <c r="I33" s="10"/>
    </row>
    <row r="34" spans="1:9" x14ac:dyDescent="0.35">
      <c r="A34" s="2" t="s">
        <v>69</v>
      </c>
      <c r="B34" s="3" t="str">
        <f t="shared" si="0"/>
        <v>I2</v>
      </c>
      <c r="C34" s="3" t="s">
        <v>68</v>
      </c>
      <c r="D34" s="10">
        <v>2</v>
      </c>
      <c r="E34" s="10">
        <v>1</v>
      </c>
      <c r="F34" s="10">
        <v>1</v>
      </c>
      <c r="G34" s="10">
        <v>1</v>
      </c>
      <c r="H34" s="10">
        <v>1</v>
      </c>
      <c r="I34" s="10"/>
    </row>
    <row r="35" spans="1:9" x14ac:dyDescent="0.35">
      <c r="A35" s="2" t="s">
        <v>70</v>
      </c>
      <c r="B35" s="3" t="str">
        <f t="shared" si="0"/>
        <v>I3</v>
      </c>
      <c r="C35" s="3" t="s">
        <v>68</v>
      </c>
      <c r="D35" s="10">
        <v>3</v>
      </c>
      <c r="E35" s="10"/>
      <c r="F35" s="10"/>
      <c r="G35" s="10"/>
      <c r="H35" s="10"/>
      <c r="I35" s="10"/>
    </row>
    <row r="36" spans="1:9" x14ac:dyDescent="0.35">
      <c r="A36" s="2" t="s">
        <v>71</v>
      </c>
      <c r="B36" s="3" t="str">
        <f t="shared" si="0"/>
        <v>I1</v>
      </c>
      <c r="C36" s="3" t="s">
        <v>68</v>
      </c>
      <c r="D36" s="10">
        <v>1</v>
      </c>
      <c r="E36" s="10">
        <v>1</v>
      </c>
      <c r="F36" s="10">
        <v>1</v>
      </c>
      <c r="G36" s="10">
        <v>1</v>
      </c>
      <c r="H36" s="10"/>
      <c r="I36" s="10"/>
    </row>
    <row r="37" spans="1:9" x14ac:dyDescent="0.35">
      <c r="A37" s="2" t="s">
        <v>72</v>
      </c>
      <c r="B37" s="3" t="str">
        <f t="shared" si="0"/>
        <v>I4</v>
      </c>
      <c r="C37" s="3" t="s">
        <v>68</v>
      </c>
      <c r="D37" s="10">
        <v>4</v>
      </c>
      <c r="E37" s="10"/>
      <c r="F37" s="10"/>
      <c r="G37" s="10"/>
      <c r="H37" s="10"/>
      <c r="I37" s="10"/>
    </row>
    <row r="38" spans="1:9" x14ac:dyDescent="0.35">
      <c r="A38" s="2" t="s">
        <v>74</v>
      </c>
      <c r="B38" s="3" t="str">
        <f t="shared" si="0"/>
        <v>J1</v>
      </c>
      <c r="C38" s="3" t="s">
        <v>73</v>
      </c>
      <c r="D38" s="10">
        <v>1</v>
      </c>
      <c r="E38" s="10">
        <v>1</v>
      </c>
      <c r="F38" s="10">
        <v>1</v>
      </c>
      <c r="G38" s="10">
        <v>1</v>
      </c>
      <c r="H38" s="10"/>
      <c r="I38" s="10"/>
    </row>
    <row r="39" spans="1:9" x14ac:dyDescent="0.35">
      <c r="A39" s="2" t="s">
        <v>75</v>
      </c>
      <c r="B39" s="3" t="str">
        <f t="shared" si="0"/>
        <v>J2</v>
      </c>
      <c r="C39" s="3" t="s">
        <v>73</v>
      </c>
      <c r="D39" s="10">
        <v>2</v>
      </c>
      <c r="E39" s="10"/>
      <c r="F39" s="10"/>
      <c r="G39" s="10"/>
      <c r="H39" s="10"/>
      <c r="I39" s="10"/>
    </row>
    <row r="40" spans="1:9" x14ac:dyDescent="0.35">
      <c r="A40" s="2" t="s">
        <v>76</v>
      </c>
      <c r="B40" s="3" t="str">
        <f t="shared" si="0"/>
        <v>J3</v>
      </c>
      <c r="C40" s="3" t="s">
        <v>73</v>
      </c>
      <c r="D40" s="10">
        <v>3</v>
      </c>
      <c r="E40" s="10"/>
      <c r="F40" s="10"/>
      <c r="G40" s="10"/>
      <c r="H40" s="10"/>
      <c r="I40" s="10"/>
    </row>
    <row r="41" spans="1:9" x14ac:dyDescent="0.35">
      <c r="A41" s="2" t="s">
        <v>77</v>
      </c>
      <c r="B41" s="3" t="str">
        <f t="shared" si="0"/>
        <v>J4</v>
      </c>
      <c r="C41" s="3" t="s">
        <v>73</v>
      </c>
      <c r="D41" s="10">
        <v>4</v>
      </c>
      <c r="E41" s="10"/>
      <c r="F41" s="10"/>
      <c r="G41" s="10"/>
      <c r="H41" s="10"/>
      <c r="I41" s="10"/>
    </row>
    <row r="42" spans="1:9" x14ac:dyDescent="0.35">
      <c r="A42" s="2" t="s">
        <v>79</v>
      </c>
      <c r="B42" s="3" t="str">
        <f t="shared" si="0"/>
        <v>K1</v>
      </c>
      <c r="C42" s="3" t="s">
        <v>78</v>
      </c>
      <c r="D42" s="10">
        <v>1</v>
      </c>
      <c r="E42" s="10">
        <v>1</v>
      </c>
      <c r="F42" s="10">
        <v>1</v>
      </c>
      <c r="G42" s="10"/>
      <c r="H42" s="10"/>
      <c r="I42" s="10"/>
    </row>
    <row r="43" spans="1:9" x14ac:dyDescent="0.35">
      <c r="A43" s="2" t="s">
        <v>80</v>
      </c>
      <c r="B43" s="3" t="str">
        <f t="shared" si="0"/>
        <v>K2</v>
      </c>
      <c r="C43" s="3" t="s">
        <v>78</v>
      </c>
      <c r="D43" s="10">
        <v>2</v>
      </c>
      <c r="E43" s="10">
        <v>1</v>
      </c>
      <c r="F43" s="10"/>
      <c r="G43" s="10"/>
      <c r="H43" s="10"/>
      <c r="I43" s="10"/>
    </row>
    <row r="44" spans="1:9" x14ac:dyDescent="0.35">
      <c r="A44" s="2" t="s">
        <v>81</v>
      </c>
      <c r="B44" s="3" t="str">
        <f t="shared" si="0"/>
        <v>K4</v>
      </c>
      <c r="C44" s="3" t="s">
        <v>78</v>
      </c>
      <c r="D44" s="10">
        <v>4</v>
      </c>
      <c r="E44" s="10"/>
      <c r="F44" s="10"/>
      <c r="G44" s="10"/>
      <c r="H44" s="10"/>
      <c r="I44" s="10"/>
    </row>
    <row r="45" spans="1:9" x14ac:dyDescent="0.35">
      <c r="A45" s="2" t="s">
        <v>82</v>
      </c>
      <c r="B45" s="3" t="str">
        <f t="shared" si="0"/>
        <v>K3</v>
      </c>
      <c r="C45" s="3" t="s">
        <v>78</v>
      </c>
      <c r="D45" s="10">
        <v>3</v>
      </c>
      <c r="E45" s="10"/>
      <c r="F45" s="10"/>
      <c r="G45" s="10"/>
      <c r="H45" s="10"/>
      <c r="I45" s="10"/>
    </row>
    <row r="46" spans="1:9" x14ac:dyDescent="0.35">
      <c r="A46" s="2" t="s">
        <v>84</v>
      </c>
      <c r="B46" s="3" t="str">
        <f t="shared" si="0"/>
        <v>L1</v>
      </c>
      <c r="C46" s="3" t="s">
        <v>83</v>
      </c>
      <c r="D46" s="10">
        <v>1</v>
      </c>
      <c r="E46" s="10">
        <v>1</v>
      </c>
      <c r="F46" s="10">
        <v>1</v>
      </c>
      <c r="G46" s="10"/>
      <c r="H46" s="10"/>
      <c r="I46" s="10"/>
    </row>
    <row r="47" spans="1:9" x14ac:dyDescent="0.35">
      <c r="A47" s="2" t="s">
        <v>85</v>
      </c>
      <c r="B47" s="3" t="str">
        <f t="shared" si="0"/>
        <v>L2</v>
      </c>
      <c r="C47" s="3" t="s">
        <v>83</v>
      </c>
      <c r="D47" s="10">
        <v>2</v>
      </c>
      <c r="E47" s="10"/>
      <c r="F47" s="10"/>
      <c r="G47" s="10"/>
      <c r="H47" s="10"/>
      <c r="I47" s="10"/>
    </row>
    <row r="48" spans="1:9" x14ac:dyDescent="0.35">
      <c r="A48" s="2" t="s">
        <v>86</v>
      </c>
      <c r="B48" s="3" t="str">
        <f t="shared" si="0"/>
        <v>L4</v>
      </c>
      <c r="C48" s="3" t="s">
        <v>83</v>
      </c>
      <c r="D48" s="10">
        <v>4</v>
      </c>
      <c r="E48" s="10"/>
      <c r="F48" s="10"/>
      <c r="G48" s="10"/>
      <c r="H48" s="10"/>
      <c r="I48" s="10"/>
    </row>
    <row r="49" spans="1:9" x14ac:dyDescent="0.35">
      <c r="A49" s="2" t="s">
        <v>87</v>
      </c>
      <c r="B49" s="3" t="str">
        <f t="shared" si="0"/>
        <v>L3</v>
      </c>
      <c r="C49" s="3" t="s">
        <v>83</v>
      </c>
      <c r="D49" s="10">
        <v>3</v>
      </c>
      <c r="E49" s="10"/>
      <c r="F49" s="10"/>
      <c r="G49" s="10"/>
      <c r="H49" s="10"/>
      <c r="I4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zoomScaleNormal="100" workbookViewId="0">
      <selection activeCell="B10" sqref="B10:C10"/>
    </sheetView>
  </sheetViews>
  <sheetFormatPr defaultColWidth="8.6328125" defaultRowHeight="14.5" x14ac:dyDescent="0.35"/>
  <cols>
    <col min="1" max="1" width="26" customWidth="1"/>
    <col min="2" max="2" width="16" customWidth="1"/>
    <col min="3" max="5" width="14" customWidth="1"/>
    <col min="6" max="6" width="3" customWidth="1"/>
    <col min="7" max="7" width="20" customWidth="1"/>
    <col min="8" max="8" width="26" customWidth="1"/>
    <col min="9" max="9" width="4" customWidth="1"/>
    <col min="10" max="10" width="3" customWidth="1"/>
  </cols>
  <sheetData>
    <row r="1" spans="1:9" x14ac:dyDescent="0.35">
      <c r="A1" s="1" t="s">
        <v>96</v>
      </c>
      <c r="B1" s="1">
        <v>1</v>
      </c>
      <c r="C1" s="1">
        <v>2</v>
      </c>
      <c r="D1" s="1">
        <v>3</v>
      </c>
      <c r="E1" s="1">
        <v>4</v>
      </c>
      <c r="G1" s="1" t="s">
        <v>97</v>
      </c>
      <c r="H1" s="1" t="s">
        <v>98</v>
      </c>
      <c r="I1" s="1"/>
    </row>
    <row r="2" spans="1:9" x14ac:dyDescent="0.35">
      <c r="A2" s="12" t="s">
        <v>26</v>
      </c>
      <c r="B2" s="3" t="str">
        <f>IF(ISNA(MATCH($A2&amp;B$1,'Elimination Rounds'!$B$2:$B$49,0)),"Choice not made!",INDEX('Elimination Rounds'!$A$2:$A$49,MATCH($A2&amp;B$1,'Elimination Rounds'!$B$2:$B$49,0)))</f>
        <v>Mexico</v>
      </c>
      <c r="C2" s="3" t="str">
        <f>IF(ISNA(MATCH($A2&amp;C$1,'Elimination Rounds'!$B$2:$B$49,0)),"Choice not made!",INDEX('Elimination Rounds'!$A$2:$A$49,MATCH($A2&amp;C$1,'Elimination Rounds'!$B$2:$B$49,0)))</f>
        <v>South Korea</v>
      </c>
      <c r="D2" s="3" t="str">
        <f>IF(ISNA(MATCH($A2&amp;D$1,'Elimination Rounds'!$B$2:$B$49,0)),"Choice not made!",INDEX('Elimination Rounds'!$A$2:$A$49,MATCH($A2&amp;D$1,'Elimination Rounds'!$B$2:$B$49,0)))</f>
        <v>Czechia</v>
      </c>
      <c r="E2" s="3" t="str">
        <f>IF(ISNA(MATCH($A2&amp;E$1,'Elimination Rounds'!$B$2:$B$49,0)),"Choice not made!",INDEX('Elimination Rounds'!$A$2:$A$49,MATCH($A2&amp;E$1,'Elimination Rounds'!$B$2:$B$49,0)))</f>
        <v>South Africa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spans="1:9" x14ac:dyDescent="0.35">
      <c r="A3" s="12" t="s">
        <v>33</v>
      </c>
      <c r="B3" s="3" t="str">
        <f>IF(ISNA(MATCH($A3&amp;B$1,'Elimination Rounds'!$B$2:$B$49,0)),"Choice not made!",INDEX('Elimination Rounds'!$A$2:$A$49,MATCH($A3&amp;B$1,'Elimination Rounds'!$B$2:$B$49,0)))</f>
        <v>Canada</v>
      </c>
      <c r="C3" s="3" t="str">
        <f>IF(ISNA(MATCH($A3&amp;C$1,'Elimination Rounds'!$B$2:$B$49,0)),"Choice not made!",INDEX('Elimination Rounds'!$A$2:$A$49,MATCH($A3&amp;C$1,'Elimination Rounds'!$B$2:$B$49,0)))</f>
        <v>Switzerland</v>
      </c>
      <c r="D3" s="3" t="str">
        <f>IF(ISNA(MATCH($A3&amp;D$1,'Elimination Rounds'!$B$2:$B$49,0)),"Choice not made!",INDEX('Elimination Rounds'!$A$2:$A$49,MATCH($A3&amp;D$1,'Elimination Rounds'!$B$2:$B$49,0)))</f>
        <v>Bosnia-Herzegovina</v>
      </c>
      <c r="E3" s="3" t="str">
        <f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99</v>
      </c>
    </row>
    <row r="4" spans="1:9" x14ac:dyDescent="0.35">
      <c r="A4" s="12" t="s">
        <v>38</v>
      </c>
      <c r="B4" s="3" t="str">
        <f>IF(ISNA(MATCH($A4&amp;B$1,'Elimination Rounds'!$B$2:$B$49,0)),"Choice not made!",INDEX('Elimination Rounds'!$A$2:$A$49,MATCH($A4&amp;B$1,'Elimination Rounds'!$B$2:$B$49,0)))</f>
        <v>Brazil</v>
      </c>
      <c r="C4" s="3" t="str">
        <f>IF(ISNA(MATCH($A4&amp;C$1,'Elimination Rounds'!$B$2:$B$49,0)),"Choice not made!",INDEX('Elimination Rounds'!$A$2:$A$49,MATCH($A4&amp;C$1,'Elimination Rounds'!$B$2:$B$49,0)))</f>
        <v>Morocco</v>
      </c>
      <c r="D4" s="3" t="str">
        <f>IF(ISNA(MATCH($A4&amp;D$1,'Elimination Rounds'!$B$2:$B$49,0)),"Choice not made!",INDEX('Elimination Rounds'!$A$2:$A$49,MATCH($A4&amp;D$1,'Elimination Rounds'!$B$2:$B$49,0)))</f>
        <v>Scotland</v>
      </c>
      <c r="E4" s="3" t="str">
        <f>IF(ISNA(MATCH($A4&amp;E$1,'Elimination Rounds'!$B$2:$B$49,0)),"Choice not made!",INDEX('Elimination Rounds'!$A$2:$A$49,MATCH($A4&amp;E$1,'Elimination Rounds'!$B$2:$B$49,0)))</f>
        <v>Haiti</v>
      </c>
      <c r="G4" s="2" t="s">
        <v>103</v>
      </c>
      <c r="H4" s="3" t="str">
        <f>IF(SUM('Elimination Rounds'!G2:G49)=4,"OK","DID NOT SELECT CORRECT NUMBER")</f>
        <v>OK</v>
      </c>
      <c r="I4" s="7" t="s">
        <v>104</v>
      </c>
    </row>
    <row r="5" spans="1:9" x14ac:dyDescent="0.35">
      <c r="A5" s="12" t="s">
        <v>43</v>
      </c>
      <c r="B5" s="3" t="str">
        <f>IF(ISNA(MATCH($A5&amp;B$1,'Elimination Rounds'!$B$2:$B$49,0)),"Choice not made!",INDEX('Elimination Rounds'!$A$2:$A$49,MATCH($A5&amp;B$1,'Elimination Rounds'!$B$2:$B$49,0)))</f>
        <v>USA</v>
      </c>
      <c r="C5" s="3" t="str">
        <f>IF(ISNA(MATCH($A5&amp;C$1,'Elimination Rounds'!$B$2:$B$49,0)),"Choice not made!",INDEX('Elimination Rounds'!$A$2:$A$49,MATCH($A5&amp;C$1,'Elimination Rounds'!$B$2:$B$49,0)))</f>
        <v>Australia</v>
      </c>
      <c r="D5" s="3" t="str">
        <f>IF(ISNA(MATCH($A5&amp;D$1,'Elimination Rounds'!$B$2:$B$49,0)),"Choice not made!",INDEX('Elimination Rounds'!$A$2:$A$49,MATCH($A5&amp;D$1,'Elimination Rounds'!$B$2:$B$49,0)))</f>
        <v>Turkiye</v>
      </c>
      <c r="E5" s="3" t="str">
        <f>IF(ISNA(MATCH($A5&amp;E$1,'Elimination Rounds'!$B$2:$B$49,0)),"Choice not made!",INDEX('Elimination Rounds'!$A$2:$A$49,MATCH($A5&amp;E$1,'Elimination Rounds'!$B$2:$B$49,0)))</f>
        <v>Paraguay</v>
      </c>
      <c r="G5" s="2" t="s">
        <v>105</v>
      </c>
      <c r="H5" s="3" t="str">
        <f>IF(SUM('Elimination Rounds'!H2:H49)=2,"OK","DID NOT SELECT CORRECT NUMBER")</f>
        <v>OK</v>
      </c>
      <c r="I5" s="7" t="s">
        <v>106</v>
      </c>
    </row>
    <row r="6" spans="1:9" x14ac:dyDescent="0.35">
      <c r="A6" s="12" t="s">
        <v>48</v>
      </c>
      <c r="B6" s="3" t="str">
        <f>IF(ISNA(MATCH($A6&amp;B$1,'Elimination Rounds'!$B$2:$B$49,0)),"Choice not made!",INDEX('Elimination Rounds'!$A$2:$A$49,MATCH($A6&amp;B$1,'Elimination Rounds'!$B$2:$B$49,0)))</f>
        <v>Germany</v>
      </c>
      <c r="C6" s="3" t="str">
        <f>IF(ISNA(MATCH($A6&amp;C$1,'Elimination Rounds'!$B$2:$B$49,0)),"Choice not made!",INDEX('Elimination Rounds'!$A$2:$A$49,MATCH($A6&amp;C$1,'Elimination Rounds'!$B$2:$B$49,0)))</f>
        <v>Ecuador</v>
      </c>
      <c r="D6" s="3" t="str">
        <f>IF(ISNA(MATCH($A6&amp;D$1,'Elimination Rounds'!$B$2:$B$49,0)),"Choice not made!",INDEX('Elimination Rounds'!$A$2:$A$49,MATCH($A6&amp;D$1,'Elimination Rounds'!$B$2:$B$49,0)))</f>
        <v>Ivory Coast</v>
      </c>
      <c r="E6" s="3" t="str">
        <f>IF(ISNA(MATCH($A6&amp;E$1,'Elimination Rounds'!$B$2:$B$49,0)),"Choice not made!",INDEX('Elimination Rounds'!$A$2:$A$49,MATCH($A6&amp;E$1,'Elimination Rounds'!$B$2:$B$49,0)))</f>
        <v>Curacao</v>
      </c>
      <c r="G6" s="2" t="s">
        <v>107</v>
      </c>
      <c r="H6" s="3" t="str">
        <f>IF(SUM('Elimination Rounds'!I2:I49)=1,"OK","DID NOT SELECT CORRECT NUMBER")</f>
        <v>OK</v>
      </c>
      <c r="I6" s="7" t="s">
        <v>108</v>
      </c>
    </row>
    <row r="7" spans="1:9" x14ac:dyDescent="0.35">
      <c r="A7" s="12" t="s">
        <v>53</v>
      </c>
      <c r="B7" s="3" t="str">
        <f>IF(ISNA(MATCH($A7&amp;B$1,'Elimination Rounds'!$B$2:$B$49,0)),"Choice not made!",INDEX('Elimination Rounds'!$A$2:$A$49,MATCH($A7&amp;B$1,'Elimination Rounds'!$B$2:$B$49,0)))</f>
        <v>Japan</v>
      </c>
      <c r="C7" s="3" t="str">
        <f>IF(ISNA(MATCH($A7&amp;C$1,'Elimination Rounds'!$B$2:$B$49,0)),"Choice not made!",INDEX('Elimination Rounds'!$A$2:$A$49,MATCH($A7&amp;C$1,'Elimination Rounds'!$B$2:$B$49,0)))</f>
        <v>Netherlands</v>
      </c>
      <c r="D7" s="3" t="str">
        <f>IF(ISNA(MATCH($A7&amp;D$1,'Elimination Rounds'!$B$2:$B$49,0)),"Choice not made!",INDEX('Elimination Rounds'!$A$2:$A$49,MATCH($A7&amp;D$1,'Elimination Rounds'!$B$2:$B$49,0)))</f>
        <v>Tunisia</v>
      </c>
      <c r="E7" s="3" t="str">
        <f>IF(ISNA(MATCH($A7&amp;E$1,'Elimination Rounds'!$B$2:$B$49,0)),"Choice not made!",INDEX('Elimination Rounds'!$A$2:$A$49,MATCH($A7&amp;E$1,'Elimination Rounds'!$B$2:$B$49,0)))</f>
        <v>Sweden</v>
      </c>
    </row>
    <row r="8" spans="1:9" x14ac:dyDescent="0.35">
      <c r="A8" s="12" t="s">
        <v>58</v>
      </c>
      <c r="B8" s="3" t="str">
        <f>IF(ISNA(MATCH($A8&amp;B$1,'Elimination Rounds'!$B$2:$B$49,0)),"Choice not made!",INDEX('Elimination Rounds'!$A$2:$A$49,MATCH($A8&amp;B$1,'Elimination Rounds'!$B$2:$B$49,0)))</f>
        <v>Belgium</v>
      </c>
      <c r="C8" s="3" t="str">
        <f>IF(ISNA(MATCH($A8&amp;C$1,'Elimination Rounds'!$B$2:$B$49,0)),"Choice not made!",INDEX('Elimination Rounds'!$A$2:$A$49,MATCH($A8&amp;C$1,'Elimination Rounds'!$B$2:$B$49,0)))</f>
        <v>Egypt</v>
      </c>
      <c r="D8" s="3" t="str">
        <f>IF(ISNA(MATCH($A8&amp;D$1,'Elimination Rounds'!$B$2:$B$49,0)),"Choice not made!",INDEX('Elimination Rounds'!$A$2:$A$49,MATCH($A8&amp;D$1,'Elimination Rounds'!$B$2:$B$49,0)))</f>
        <v>Iran</v>
      </c>
      <c r="E8" s="3" t="str">
        <f>IF(ISNA(MATCH($A8&amp;E$1,'Elimination Rounds'!$B$2:$B$49,0)),"Choice not made!",INDEX('Elimination Rounds'!$A$2:$A$49,MATCH($A8&amp;E$1,'Elimination Rounds'!$B$2:$B$49,0)))</f>
        <v>New Zealand</v>
      </c>
      <c r="G8" s="1" t="s">
        <v>111</v>
      </c>
      <c r="H8" s="1" t="s">
        <v>98</v>
      </c>
    </row>
    <row r="9" spans="1:9" x14ac:dyDescent="0.35">
      <c r="A9" s="12" t="s">
        <v>63</v>
      </c>
      <c r="B9" s="3" t="str">
        <f>IF(ISNA(MATCH($A9&amp;B$1,'Elimination Rounds'!$B$2:$B$49,0)),"Choice not made!",INDEX('Elimination Rounds'!$A$2:$A$49,MATCH($A9&amp;B$1,'Elimination Rounds'!$B$2:$B$49,0)))</f>
        <v>Spain</v>
      </c>
      <c r="C9" s="3" t="str">
        <f>IF(ISNA(MATCH($A9&amp;C$1,'Elimination Rounds'!$B$2:$B$49,0)),"Choice not made!",INDEX('Elimination Rounds'!$A$2:$A$49,MATCH($A9&amp;C$1,'Elimination Rounds'!$B$2:$B$49,0)))</f>
        <v>Uruguay</v>
      </c>
      <c r="D9" s="3" t="str">
        <f>IF(ISNA(MATCH($A9&amp;D$1,'Elimination Rounds'!$B$2:$B$49,0)),"Choice not made!",INDEX('Elimination Rounds'!$A$2:$A$49,MATCH($A9&amp;D$1,'Elimination Rounds'!$B$2:$B$49,0)))</f>
        <v>Saudi Arabia</v>
      </c>
      <c r="E9" s="3" t="str">
        <f>IF(ISNA(MATCH($A9&amp;E$1,'Elimination Rounds'!$B$2:$B$49,0)),"Choice not made!",INDEX('Elimination Rounds'!$A$2:$A$49,MATCH($A9&amp;E$1,'Elimination Rounds'!$B$2:$B$49,0)))</f>
        <v>Cape Verde</v>
      </c>
      <c r="G9" s="16" t="s">
        <v>112</v>
      </c>
      <c r="H9" t="str">
        <f>IF('Group Stage'!J5=72,"GOOD TO GO!","SOME GAMES NOT PICKED")</f>
        <v>GOOD TO GO!</v>
      </c>
    </row>
    <row r="10" spans="1:9" x14ac:dyDescent="0.35">
      <c r="A10" s="12" t="s">
        <v>68</v>
      </c>
      <c r="B10" s="3" t="str">
        <f>IF(ISNA(MATCH($A10&amp;B$1,'Elimination Rounds'!$B$2:$B$49,0)),"Choice not made!",INDEX('Elimination Rounds'!$A$2:$A$49,MATCH($A10&amp;B$1,'Elimination Rounds'!$B$2:$B$49,0)))</f>
        <v>Norway</v>
      </c>
      <c r="C10" s="3" t="str">
        <f>IF(ISNA(MATCH($A10&amp;C$1,'Elimination Rounds'!$B$2:$B$49,0)),"Choice not made!",INDEX('Elimination Rounds'!$A$2:$A$49,MATCH($A10&amp;C$1,'Elimination Rounds'!$B$2:$B$49,0)))</f>
        <v>France</v>
      </c>
      <c r="D10" s="3" t="str">
        <f>IF(ISNA(MATCH($A10&amp;D$1,'Elimination Rounds'!$B$2:$B$49,0)),"Choice not made!",INDEX('Elimination Rounds'!$A$2:$A$49,MATCH($A10&amp;D$1,'Elimination Rounds'!$B$2:$B$49,0)))</f>
        <v>Senegal</v>
      </c>
      <c r="E10" s="3" t="str">
        <f>IF(ISNA(MATCH($A10&amp;E$1,'Elimination Rounds'!$B$2:$B$49,0)),"Choice not made!",INDEX('Elimination Rounds'!$A$2:$A$49,MATCH($A10&amp;E$1,'Elimination Rounds'!$B$2:$B$49,0)))</f>
        <v>Iraq</v>
      </c>
    </row>
    <row r="11" spans="1:9" x14ac:dyDescent="0.35">
      <c r="A11" s="12" t="s">
        <v>73</v>
      </c>
      <c r="B11" s="3" t="str">
        <f>IF(ISNA(MATCH($A11&amp;B$1,'Elimination Rounds'!$B$2:$B$49,0)),"Choice not made!",INDEX('Elimination Rounds'!$A$2:$A$49,MATCH($A11&amp;B$1,'Elimination Rounds'!$B$2:$B$49,0)))</f>
        <v>Argentina</v>
      </c>
      <c r="C11" s="3" t="str">
        <f>IF(ISNA(MATCH($A11&amp;C$1,'Elimination Rounds'!$B$2:$B$49,0)),"Choice not made!",INDEX('Elimination Rounds'!$A$2:$A$49,MATCH($A11&amp;C$1,'Elimination Rounds'!$B$2:$B$49,0)))</f>
        <v>Austria</v>
      </c>
      <c r="D11" s="3" t="str">
        <f>IF(ISNA(MATCH($A11&amp;D$1,'Elimination Rounds'!$B$2:$B$49,0)),"Choice not made!",INDEX('Elimination Rounds'!$A$2:$A$49,MATCH($A11&amp;D$1,'Elimination Rounds'!$B$2:$B$49,0)))</f>
        <v>Algeria</v>
      </c>
      <c r="E11" s="3" t="str">
        <f>IF(ISNA(MATCH($A11&amp;E$1,'Elimination Rounds'!$B$2:$B$49,0)),"Choice not made!",INDEX('Elimination Rounds'!$A$2:$A$49,MATCH($A11&amp;E$1,'Elimination Rounds'!$B$2:$B$49,0)))</f>
        <v>Jordan</v>
      </c>
    </row>
    <row r="12" spans="1:9" x14ac:dyDescent="0.35">
      <c r="A12" s="12" t="s">
        <v>78</v>
      </c>
      <c r="B12" s="3" t="str">
        <f>IF(ISNA(MATCH($A12&amp;B$1,'Elimination Rounds'!$B$2:$B$49,0)),"Choice not made!",INDEX('Elimination Rounds'!$A$2:$A$49,MATCH($A12&amp;B$1,'Elimination Rounds'!$B$2:$B$49,0)))</f>
        <v>Portugal</v>
      </c>
      <c r="C12" s="3" t="str">
        <f>IF(ISNA(MATCH($A12&amp;C$1,'Elimination Rounds'!$B$2:$B$49,0)),"Choice not made!",INDEX('Elimination Rounds'!$A$2:$A$49,MATCH($A12&amp;C$1,'Elimination Rounds'!$B$2:$B$49,0)))</f>
        <v>Colombia</v>
      </c>
      <c r="D12" s="3" t="str">
        <f>IF(ISNA(MATCH($A12&amp;D$1,'Elimination Rounds'!$B$2:$B$49,0)),"Choice not made!",INDEX('Elimination Rounds'!$A$2:$A$49,MATCH($A12&amp;D$1,'Elimination Rounds'!$B$2:$B$49,0)))</f>
        <v>DR Congo</v>
      </c>
      <c r="E12" s="3" t="str">
        <f>IF(ISNA(MATCH($A12&amp;E$1,'Elimination Rounds'!$B$2:$B$49,0)),"Choice not made!",INDEX('Elimination Rounds'!$A$2:$A$49,MATCH($A12&amp;E$1,'Elimination Rounds'!$B$2:$B$49,0)))</f>
        <v>Uzbekistan</v>
      </c>
    </row>
    <row r="13" spans="1:9" x14ac:dyDescent="0.35">
      <c r="A13" s="12" t="s">
        <v>83</v>
      </c>
      <c r="B13" s="3" t="str">
        <f>IF(ISNA(MATCH($A13&amp;B$1,'Elimination Rounds'!$B$2:$B$49,0)),"Choice not made!",INDEX('Elimination Rounds'!$A$2:$A$49,MATCH($A13&amp;B$1,'Elimination Rounds'!$B$2:$B$49,0)))</f>
        <v>England</v>
      </c>
      <c r="C13" s="3" t="str">
        <f>IF(ISNA(MATCH($A13&amp;C$1,'Elimination Rounds'!$B$2:$B$49,0)),"Choice not made!",INDEX('Elimination Rounds'!$A$2:$A$49,MATCH($A13&amp;C$1,'Elimination Rounds'!$B$2:$B$49,0)))</f>
        <v>Croatia</v>
      </c>
      <c r="D13" s="3" t="str">
        <f>IF(ISNA(MATCH($A13&amp;D$1,'Elimination Rounds'!$B$2:$B$49,0)),"Choice not made!",INDEX('Elimination Rounds'!$A$2:$A$49,MATCH($A13&amp;D$1,'Elimination Rounds'!$B$2:$B$49,0)))</f>
        <v>Ghana</v>
      </c>
      <c r="E13" s="3" t="str">
        <f>IF(ISNA(MATCH($A13&amp;E$1,'Elimination Rounds'!$B$2:$B$49,0)),"Choice not made!",INDEX('Elimination Rounds'!$A$2:$A$49,MATCH($A13&amp;E$1,'Elimination Rounds'!$B$2:$B$49,0)))</f>
        <v>Panama</v>
      </c>
    </row>
    <row r="16" spans="1:9" x14ac:dyDescent="0.35">
      <c r="A16" s="13" t="s">
        <v>109</v>
      </c>
      <c r="B16" s="14">
        <f>COUNTIF(B2:E13,"Choice not made!")+COUNTIF(H2:H6,"DID NOT SELECT CORRECT NUMBER")</f>
        <v>0</v>
      </c>
    </row>
    <row r="18" spans="1:6" x14ac:dyDescent="0.35">
      <c r="A18" s="17" t="str">
        <f>IF(B16=0,"GOOD TO GO!","NOT READY TO SUBMIT (SEE ERRORS ABOVE)")</f>
        <v>GOOD TO GO!</v>
      </c>
      <c r="B18" s="17"/>
      <c r="C18" s="17"/>
      <c r="D18" s="17"/>
      <c r="E18" s="17"/>
      <c r="F18" s="17"/>
    </row>
    <row r="19" spans="1:6" x14ac:dyDescent="0.35">
      <c r="A19" s="17"/>
      <c r="B19" s="17"/>
      <c r="C19" s="17"/>
      <c r="D19" s="17"/>
      <c r="E19" s="17"/>
      <c r="F19" s="17"/>
    </row>
    <row r="20" spans="1:6" x14ac:dyDescent="0.35">
      <c r="A20" s="17"/>
      <c r="B20" s="17"/>
      <c r="C20" s="17"/>
      <c r="D20" s="17"/>
      <c r="E20" s="17"/>
      <c r="F20" s="17"/>
    </row>
  </sheetData>
  <mergeCells count="1">
    <mergeCell ref="A18:F20"/>
  </mergeCells>
  <conditionalFormatting sqref="A18:F20">
    <cfRule type="expression" dxfId="5" priority="7">
      <formula>NOT(ISERROR(SEARCH("GOOD TO GO!",A18)))</formula>
    </cfRule>
    <cfRule type="expression" dxfId="4" priority="8">
      <formula>NOT(ISERROR(SEARCH("NOT READY",A18)))</formula>
    </cfRule>
  </conditionalFormatting>
  <conditionalFormatting sqref="B2:E13">
    <cfRule type="cellIs" dxfId="3" priority="3" operator="equal">
      <formula>"Choice not made!"</formula>
    </cfRule>
  </conditionalFormatting>
  <conditionalFormatting sqref="H2:H6">
    <cfRule type="cellIs" dxfId="2" priority="4" operator="equal">
      <formula>"OK"</formula>
    </cfRule>
    <cfRule type="cellIs" dxfId="1" priority="5" operator="equal">
      <formula>"DID NOT SELECT CORRECT NUMBER"</formula>
    </cfRule>
  </conditionalFormatting>
  <conditionalFormatting sqref="H9">
    <cfRule type="expression" dxfId="0" priority="1">
      <formula>"""GOOD TO GO!"""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Rules</vt:lpstr>
      <vt:lpstr>Group Stage</vt:lpstr>
      <vt:lpstr>Elimination Rounds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Dinesh Srinivasan</cp:lastModifiedBy>
  <cp:revision>0</cp:revision>
  <dcterms:created xsi:type="dcterms:W3CDTF">2026-06-03T12:18:58Z</dcterms:created>
  <dcterms:modified xsi:type="dcterms:W3CDTF">2026-06-11T11:55:57Z</dcterms:modified>
  <dc:language>en-US</dc:language>
</cp:coreProperties>
</file>