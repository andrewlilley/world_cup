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7729"/>
  <workbookPr autoCompressPictures="0"/>
  <bookViews>
    <workbookView xWindow="0" yWindow="0" windowWidth="25600" windowHeight="14680" activeTab="1"/>
  </bookViews>
  <sheets>
    <sheet name="Scoring Rules" sheetId="6" r:id="rId1"/>
    <sheet name="Group Stage" sheetId="1" r:id="rId2"/>
    <sheet name="Elimination Rounds" sheetId="2" r:id="rId3"/>
    <sheet name="Goals Scored" sheetId="5" r:id="rId4"/>
    <sheet name="Checks" sheetId="4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2" i="2" l="1"/>
  <c r="C14" i="6"/>
  <c r="L1" i="4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3" i="2"/>
  <c r="E24" i="2"/>
  <c r="E25" i="2"/>
  <c r="E26" i="2"/>
  <c r="E27" i="2"/>
  <c r="E28" i="2"/>
  <c r="E29" i="2"/>
  <c r="E30" i="2"/>
  <c r="E31" i="2"/>
  <c r="E32" i="2"/>
  <c r="E33" i="2"/>
  <c r="H5" i="4"/>
  <c r="H4" i="4"/>
  <c r="H3" i="4"/>
  <c r="H2" i="4"/>
  <c r="H1" i="4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2" i="4"/>
  <c r="C6" i="4"/>
  <c r="C4" i="4"/>
  <c r="C8" i="4"/>
  <c r="D4" i="4"/>
  <c r="B5" i="4"/>
  <c r="B8" i="4"/>
  <c r="D6" i="4"/>
  <c r="C2" i="4"/>
  <c r="D8" i="4"/>
  <c r="E2" i="4"/>
  <c r="E6" i="4"/>
  <c r="B3" i="4"/>
  <c r="B9" i="4"/>
  <c r="C5" i="4"/>
  <c r="C9" i="4"/>
  <c r="D7" i="4"/>
  <c r="E9" i="4"/>
  <c r="E4" i="4"/>
  <c r="E8" i="4"/>
  <c r="B7" i="4"/>
  <c r="C3" i="4"/>
  <c r="C7" i="4"/>
  <c r="D3" i="4"/>
  <c r="D5" i="4"/>
  <c r="D9" i="4"/>
  <c r="E3" i="4"/>
  <c r="E5" i="4"/>
  <c r="E7" i="4"/>
  <c r="B2" i="4"/>
  <c r="B4" i="4"/>
  <c r="B6" i="4"/>
  <c r="F28" i="1"/>
  <c r="F43" i="1"/>
  <c r="F3" i="1"/>
  <c r="F11" i="1"/>
  <c r="B12" i="4"/>
  <c r="A17" i="4"/>
  <c r="F27" i="1"/>
  <c r="F19" i="1"/>
  <c r="F35" i="1"/>
  <c r="F7" i="1"/>
  <c r="F12" i="1"/>
  <c r="F24" i="1"/>
  <c r="F8" i="1"/>
  <c r="F20" i="1"/>
  <c r="F47" i="1"/>
  <c r="F39" i="1"/>
  <c r="F31" i="1"/>
  <c r="F23" i="1"/>
  <c r="F15" i="1"/>
  <c r="F4" i="1"/>
  <c r="F16" i="1"/>
  <c r="F18" i="1"/>
  <c r="F40" i="1"/>
  <c r="F32" i="1"/>
  <c r="F36" i="1"/>
  <c r="F42" i="1"/>
  <c r="F34" i="1"/>
  <c r="F26" i="1"/>
  <c r="F10" i="1"/>
  <c r="F25" i="1"/>
  <c r="F49" i="1"/>
  <c r="F41" i="1"/>
  <c r="F21" i="1"/>
  <c r="F46" i="1"/>
  <c r="F38" i="1"/>
  <c r="F30" i="1"/>
  <c r="F22" i="1"/>
  <c r="F14" i="1"/>
  <c r="F6" i="1"/>
  <c r="F45" i="1"/>
  <c r="F37" i="1"/>
  <c r="F33" i="1"/>
  <c r="F29" i="1"/>
  <c r="F17" i="1"/>
  <c r="F13" i="1"/>
  <c r="F9" i="1"/>
  <c r="F5" i="1"/>
  <c r="F44" i="1"/>
  <c r="F48" i="1"/>
  <c r="F2" i="1"/>
  <c r="I4" i="1"/>
  <c r="I2" i="1"/>
  <c r="I3" i="1"/>
  <c r="I5" i="1"/>
</calcChain>
</file>

<file path=xl/sharedStrings.xml><?xml version="1.0" encoding="utf-8"?>
<sst xmlns="http://schemas.openxmlformats.org/spreadsheetml/2006/main" count="233" uniqueCount="98">
  <si>
    <t>Team</t>
  </si>
  <si>
    <t>Match</t>
  </si>
  <si>
    <t>Group</t>
  </si>
  <si>
    <t>Home</t>
  </si>
  <si>
    <t>Group Finish</t>
  </si>
  <si>
    <t>Away</t>
  </si>
  <si>
    <t>Round of 16</t>
  </si>
  <si>
    <t>Home Goals</t>
  </si>
  <si>
    <t>Away Goals</t>
  </si>
  <si>
    <t>Result (H, A, D)</t>
  </si>
  <si>
    <t>Winner</t>
  </si>
  <si>
    <t>Germany</t>
  </si>
  <si>
    <t>Russia</t>
  </si>
  <si>
    <t>Saudi Arabia</t>
  </si>
  <si>
    <t>F</t>
  </si>
  <si>
    <t>H</t>
  </si>
  <si>
    <t>Egypt</t>
  </si>
  <si>
    <t>Uruguay</t>
  </si>
  <si>
    <t>A</t>
  </si>
  <si>
    <t>Morocco</t>
  </si>
  <si>
    <t>France</t>
  </si>
  <si>
    <t>Iran</t>
  </si>
  <si>
    <t>C</t>
  </si>
  <si>
    <t>D</t>
  </si>
  <si>
    <t>Portugal</t>
  </si>
  <si>
    <t>Spain</t>
  </si>
  <si>
    <t>Australia</t>
  </si>
  <si>
    <t>Argentina</t>
  </si>
  <si>
    <t>Iceland</t>
  </si>
  <si>
    <t>Peru</t>
  </si>
  <si>
    <t>Denmark</t>
  </si>
  <si>
    <t>Brazil</t>
  </si>
  <si>
    <t>E</t>
  </si>
  <si>
    <t>Croatia</t>
  </si>
  <si>
    <t>Nigeria</t>
  </si>
  <si>
    <t>B</t>
  </si>
  <si>
    <t>Costa Rica</t>
  </si>
  <si>
    <t>Serbia</t>
  </si>
  <si>
    <t>England</t>
  </si>
  <si>
    <t>G</t>
  </si>
  <si>
    <t>Mexico</t>
  </si>
  <si>
    <t>Belgium</t>
  </si>
  <si>
    <t>Switzerland</t>
  </si>
  <si>
    <t>Sweden</t>
  </si>
  <si>
    <t>South Korea</t>
  </si>
  <si>
    <t>Colombia</t>
  </si>
  <si>
    <t>Panama</t>
  </si>
  <si>
    <t>Tunisia</t>
  </si>
  <si>
    <t>Japan</t>
  </si>
  <si>
    <t>Poland</t>
  </si>
  <si>
    <t>Senegal</t>
  </si>
  <si>
    <t>Draw</t>
  </si>
  <si>
    <t>Code</t>
  </si>
  <si>
    <t>GROUP CHECK</t>
  </si>
  <si>
    <t>ROUND OF 16 CHECK</t>
  </si>
  <si>
    <t>QUARTERFINALS</t>
  </si>
  <si>
    <t>SEMIFINALS</t>
  </si>
  <si>
    <t>FINAL</t>
  </si>
  <si>
    <t>WINNER</t>
  </si>
  <si>
    <t>TOTAL</t>
  </si>
  <si>
    <t>TOTAL ERRORS</t>
  </si>
  <si>
    <t>Top goalscorer:</t>
  </si>
  <si>
    <t>Self check</t>
  </si>
  <si>
    <t>:16</t>
  </si>
  <si>
    <t>:8</t>
  </si>
  <si>
    <t>:4</t>
  </si>
  <si>
    <t>:2</t>
  </si>
  <si>
    <t>:1</t>
  </si>
  <si>
    <t>Correctly guessing Win/Loss/Draw of Group Stage:</t>
  </si>
  <si>
    <t>Outcome</t>
  </si>
  <si>
    <t>Points</t>
  </si>
  <si>
    <t>+1</t>
  </si>
  <si>
    <t>Correctly guessing score of game in Group Stage:</t>
  </si>
  <si>
    <t>+2</t>
  </si>
  <si>
    <t>Correctly picking group winner (A-H)</t>
  </si>
  <si>
    <t>Correctly picking each non-winning group place</t>
  </si>
  <si>
    <t>Potential points</t>
  </si>
  <si>
    <t>Correctly picking each team in round 16</t>
  </si>
  <si>
    <t>Correctly picking each team in round of 8</t>
  </si>
  <si>
    <t>+4</t>
  </si>
  <si>
    <t>+8</t>
  </si>
  <si>
    <t>+16</t>
  </si>
  <si>
    <t>+32</t>
  </si>
  <si>
    <t>Correctly picking each semi-final player</t>
  </si>
  <si>
    <t>Correctly picking each final team</t>
  </si>
  <si>
    <t>Number of goals scored in third place game:</t>
  </si>
  <si>
    <t># Blank fields in goals scored</t>
  </si>
  <si>
    <t>Correctly picking World Cup Winner</t>
  </si>
  <si>
    <t>Number of goals by top goalscorer (player irrelevant):</t>
  </si>
  <si>
    <t>+15</t>
  </si>
  <si>
    <t>BONUS 1: Correctly picking top Goalscorer</t>
  </si>
  <si>
    <t>BONUS 2: Correctly picking G</t>
  </si>
  <si>
    <t>BONUS 3: Correctly picking number of goals scored in 3rd place match</t>
  </si>
  <si>
    <t>+10</t>
  </si>
  <si>
    <t>Quarter Finals</t>
  </si>
  <si>
    <t>Semi Finals</t>
  </si>
  <si>
    <t>Final</t>
  </si>
  <si>
    <t>Neymar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</si>
</sst>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</font>
    <font>
      <sz val="14"/>
      <name val="Source Sans Pro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6"/>
      <color rgb="FF000000"/>
      <name val="Arial"/>
      <family val="2"/>
    </font>
    <font>
      <sz val="12"/>
      <name val="Calibri"/>
      <family val="2"/>
    </font>
    <font>
      <sz val="36"/>
      <color rgb="FF000000"/>
      <name val="Arial"/>
      <family val="2"/>
    </font>
    <font>
      <sz val="1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0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Alignment="1"/>
    <xf numFmtId="0" fontId="3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/>
    <xf numFmtId="0" fontId="1" fillId="4" borderId="0" xfId="0" applyFont="1" applyFill="1" applyAlignment="1"/>
    <xf numFmtId="0" fontId="1" fillId="4" borderId="0" xfId="0" applyFont="1" applyFill="1"/>
    <xf numFmtId="0" fontId="6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/>
    <xf numFmtId="0" fontId="2" fillId="4" borderId="0" xfId="0" quotePrefix="1" applyFont="1" applyFill="1" applyAlignment="1">
      <alignment horizontal="center"/>
    </xf>
    <xf numFmtId="0" fontId="2" fillId="0" borderId="0" xfId="0" quotePrefix="1" applyFont="1" applyAlignment="1"/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shrinkToFit="1"/>
    </xf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5" sqref="C15"/>
    </sheetView>
  </sheetViews>
  <sheetFormatPr baseColWidth="10" defaultRowHeight="12" x14ac:dyDescent="0"/>
  <cols>
    <col min="1" max="1" width="51.83203125" customWidth="1"/>
    <col min="3" max="3" width="13.83203125" bestFit="1" customWidth="1"/>
  </cols>
  <sheetData>
    <row r="1" spans="1:3">
      <c r="A1" s="22" t="s">
        <v>69</v>
      </c>
      <c r="B1" s="22" t="s">
        <v>70</v>
      </c>
      <c r="C1" s="21" t="s">
        <v>76</v>
      </c>
    </row>
    <row r="2" spans="1:3">
      <c r="A2" s="24" t="s">
        <v>68</v>
      </c>
      <c r="B2" s="18" t="s">
        <v>71</v>
      </c>
      <c r="C2" s="19">
        <v>48</v>
      </c>
    </row>
    <row r="3" spans="1:3">
      <c r="A3" s="24" t="s">
        <v>72</v>
      </c>
      <c r="B3" s="18" t="s">
        <v>73</v>
      </c>
      <c r="C3" s="19">
        <v>96</v>
      </c>
    </row>
    <row r="4" spans="1:3">
      <c r="A4" s="24" t="s">
        <v>74</v>
      </c>
      <c r="B4" s="18" t="s">
        <v>73</v>
      </c>
      <c r="C4">
        <v>16</v>
      </c>
    </row>
    <row r="5" spans="1:3">
      <c r="A5" s="24" t="s">
        <v>75</v>
      </c>
      <c r="B5" s="18" t="s">
        <v>71</v>
      </c>
      <c r="C5">
        <v>24</v>
      </c>
    </row>
    <row r="6" spans="1:3">
      <c r="A6" s="24" t="s">
        <v>77</v>
      </c>
      <c r="B6" s="18" t="s">
        <v>71</v>
      </c>
      <c r="C6">
        <v>16</v>
      </c>
    </row>
    <row r="7" spans="1:3">
      <c r="A7" s="24" t="s">
        <v>78</v>
      </c>
      <c r="B7" s="18" t="s">
        <v>79</v>
      </c>
      <c r="C7">
        <v>32</v>
      </c>
    </row>
    <row r="8" spans="1:3">
      <c r="A8" s="24" t="s">
        <v>83</v>
      </c>
      <c r="B8" s="18" t="s">
        <v>80</v>
      </c>
      <c r="C8">
        <v>32</v>
      </c>
    </row>
    <row r="9" spans="1:3">
      <c r="A9" s="24" t="s">
        <v>84</v>
      </c>
      <c r="B9" s="18" t="s">
        <v>81</v>
      </c>
      <c r="C9">
        <v>32</v>
      </c>
    </row>
    <row r="10" spans="1:3">
      <c r="A10" s="24" t="s">
        <v>87</v>
      </c>
      <c r="B10" s="18" t="s">
        <v>82</v>
      </c>
      <c r="C10">
        <v>32</v>
      </c>
    </row>
    <row r="11" spans="1:3">
      <c r="A11" s="24" t="s">
        <v>90</v>
      </c>
      <c r="B11" s="18" t="s">
        <v>89</v>
      </c>
      <c r="C11">
        <v>15</v>
      </c>
    </row>
    <row r="12" spans="1:3">
      <c r="A12" s="24" t="s">
        <v>91</v>
      </c>
      <c r="B12" s="18" t="s">
        <v>89</v>
      </c>
      <c r="C12">
        <v>15</v>
      </c>
    </row>
    <row r="13" spans="1:3">
      <c r="A13" s="25" t="s">
        <v>92</v>
      </c>
      <c r="B13" s="18" t="s">
        <v>93</v>
      </c>
      <c r="C13">
        <v>10</v>
      </c>
    </row>
    <row r="14" spans="1:3">
      <c r="A14" s="22" t="s">
        <v>59</v>
      </c>
      <c r="B14" s="22"/>
      <c r="C14" s="23">
        <f>SUM(C2:C13)</f>
        <v>368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I49"/>
  <sheetViews>
    <sheetView tabSelected="1" workbookViewId="0">
      <pane ySplit="1" topLeftCell="A2" activePane="bottomLeft" state="frozen"/>
      <selection pane="bottomLeft" activeCell="C26" sqref="C26"/>
    </sheetView>
  </sheetViews>
  <sheetFormatPr baseColWidth="10" defaultColWidth="14.5" defaultRowHeight="15.75" customHeight="1" x14ac:dyDescent="0"/>
  <cols>
    <col min="1" max="1" width="13" customWidth="1"/>
    <col min="2" max="3" width="14.83203125" customWidth="1"/>
    <col min="4" max="6" width="21.5" customWidth="1"/>
  </cols>
  <sheetData>
    <row r="1" spans="1:9" ht="18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H1" s="26" t="s">
        <v>62</v>
      </c>
      <c r="I1" s="27"/>
    </row>
    <row r="2" spans="1:9" ht="15.75" customHeight="1">
      <c r="A2" s="1">
        <v>1</v>
      </c>
      <c r="B2" s="2" t="s">
        <v>12</v>
      </c>
      <c r="C2" s="2" t="s">
        <v>13</v>
      </c>
      <c r="D2" s="15">
        <v>5</v>
      </c>
      <c r="E2" s="15">
        <v>0</v>
      </c>
      <c r="F2" s="16" t="str">
        <f>IF(D2&gt;E2,"H",IF(D2&lt;E2,"A","D"))</f>
        <v>H</v>
      </c>
      <c r="H2" s="5" t="s">
        <v>3</v>
      </c>
      <c r="I2" s="4">
        <f>COUNTIF(F2:F49,"H")</f>
        <v>21</v>
      </c>
    </row>
    <row r="3" spans="1:9" ht="18">
      <c r="A3" s="1">
        <v>2</v>
      </c>
      <c r="B3" s="2" t="s">
        <v>16</v>
      </c>
      <c r="C3" s="2" t="s">
        <v>17</v>
      </c>
      <c r="D3" s="15">
        <v>1</v>
      </c>
      <c r="E3" s="15">
        <v>2</v>
      </c>
      <c r="F3" s="16" t="str">
        <f t="shared" ref="F3:F49" si="0">IF(D3&gt;E3,"H",IF(D3&lt;E3,"A","D"))</f>
        <v>A</v>
      </c>
      <c r="H3" s="5" t="s">
        <v>5</v>
      </c>
      <c r="I3" s="4">
        <f>COUNTIF(F2:F49,"A")</f>
        <v>14</v>
      </c>
    </row>
    <row r="4" spans="1:9" ht="18">
      <c r="A4" s="1">
        <v>3</v>
      </c>
      <c r="B4" s="2" t="s">
        <v>19</v>
      </c>
      <c r="C4" s="2" t="s">
        <v>21</v>
      </c>
      <c r="D4" s="15">
        <v>1</v>
      </c>
      <c r="E4" s="15">
        <v>0</v>
      </c>
      <c r="F4" s="16" t="str">
        <f t="shared" si="0"/>
        <v>H</v>
      </c>
      <c r="H4" s="5" t="s">
        <v>51</v>
      </c>
      <c r="I4" s="4">
        <f>COUNTIF(F2:F49,"D")</f>
        <v>13</v>
      </c>
    </row>
    <row r="5" spans="1:9" ht="18">
      <c r="A5" s="1">
        <v>4</v>
      </c>
      <c r="B5" s="2" t="s">
        <v>24</v>
      </c>
      <c r="C5" s="2" t="s">
        <v>25</v>
      </c>
      <c r="D5" s="15">
        <v>0</v>
      </c>
      <c r="E5" s="15">
        <v>1</v>
      </c>
      <c r="F5" s="16" t="str">
        <f t="shared" si="0"/>
        <v>A</v>
      </c>
      <c r="H5" s="11" t="s">
        <v>59</v>
      </c>
      <c r="I5" s="11">
        <f>SUM(I2:I4)</f>
        <v>48</v>
      </c>
    </row>
    <row r="6" spans="1:9" ht="18">
      <c r="A6" s="1">
        <v>5</v>
      </c>
      <c r="B6" s="2" t="s">
        <v>20</v>
      </c>
      <c r="C6" s="2" t="s">
        <v>26</v>
      </c>
      <c r="D6" s="15">
        <v>3</v>
      </c>
      <c r="E6" s="15">
        <v>0</v>
      </c>
      <c r="F6" s="16" t="str">
        <f t="shared" si="0"/>
        <v>H</v>
      </c>
    </row>
    <row r="7" spans="1:9" ht="18">
      <c r="A7" s="1">
        <v>6</v>
      </c>
      <c r="B7" s="2" t="s">
        <v>27</v>
      </c>
      <c r="C7" s="2" t="s">
        <v>28</v>
      </c>
      <c r="D7" s="15">
        <v>1</v>
      </c>
      <c r="E7" s="15">
        <v>0</v>
      </c>
      <c r="F7" s="16" t="str">
        <f t="shared" si="0"/>
        <v>H</v>
      </c>
    </row>
    <row r="8" spans="1:9" ht="18">
      <c r="A8" s="1">
        <v>7</v>
      </c>
      <c r="B8" s="2" t="s">
        <v>29</v>
      </c>
      <c r="C8" s="2" t="s">
        <v>30</v>
      </c>
      <c r="D8" s="15">
        <v>0</v>
      </c>
      <c r="E8" s="15">
        <v>0</v>
      </c>
      <c r="F8" s="16" t="str">
        <f t="shared" si="0"/>
        <v>D</v>
      </c>
    </row>
    <row r="9" spans="1:9" ht="18">
      <c r="A9" s="1">
        <v>8</v>
      </c>
      <c r="B9" s="2" t="s">
        <v>33</v>
      </c>
      <c r="C9" s="2" t="s">
        <v>34</v>
      </c>
      <c r="D9" s="15">
        <v>0</v>
      </c>
      <c r="E9" s="15">
        <v>0</v>
      </c>
      <c r="F9" s="16" t="str">
        <f t="shared" si="0"/>
        <v>D</v>
      </c>
    </row>
    <row r="10" spans="1:9" ht="18">
      <c r="A10" s="1">
        <v>9</v>
      </c>
      <c r="B10" s="2" t="s">
        <v>36</v>
      </c>
      <c r="C10" s="2" t="s">
        <v>37</v>
      </c>
      <c r="D10" s="15">
        <v>0</v>
      </c>
      <c r="E10" s="15">
        <v>1</v>
      </c>
      <c r="F10" s="16" t="str">
        <f t="shared" si="0"/>
        <v>A</v>
      </c>
    </row>
    <row r="11" spans="1:9" ht="18">
      <c r="A11" s="1">
        <v>10</v>
      </c>
      <c r="B11" s="2" t="s">
        <v>11</v>
      </c>
      <c r="C11" s="2" t="s">
        <v>40</v>
      </c>
      <c r="D11" s="15">
        <v>2</v>
      </c>
      <c r="E11" s="15">
        <v>0</v>
      </c>
      <c r="F11" s="16" t="str">
        <f t="shared" si="0"/>
        <v>H</v>
      </c>
    </row>
    <row r="12" spans="1:9" ht="18">
      <c r="A12" s="1">
        <v>11</v>
      </c>
      <c r="B12" s="2" t="s">
        <v>31</v>
      </c>
      <c r="C12" s="2" t="s">
        <v>42</v>
      </c>
      <c r="D12" s="15">
        <v>3</v>
      </c>
      <c r="E12" s="15">
        <v>1</v>
      </c>
      <c r="F12" s="16" t="str">
        <f t="shared" si="0"/>
        <v>H</v>
      </c>
    </row>
    <row r="13" spans="1:9" ht="18">
      <c r="A13" s="1">
        <v>12</v>
      </c>
      <c r="B13" s="2" t="s">
        <v>43</v>
      </c>
      <c r="C13" s="2" t="s">
        <v>44</v>
      </c>
      <c r="D13" s="15">
        <v>2</v>
      </c>
      <c r="E13" s="15">
        <v>1</v>
      </c>
      <c r="F13" s="16" t="str">
        <f t="shared" si="0"/>
        <v>H</v>
      </c>
    </row>
    <row r="14" spans="1:9" ht="18">
      <c r="A14" s="1">
        <v>13</v>
      </c>
      <c r="B14" s="2" t="s">
        <v>41</v>
      </c>
      <c r="C14" s="2" t="s">
        <v>46</v>
      </c>
      <c r="D14" s="15">
        <v>3</v>
      </c>
      <c r="E14" s="15">
        <v>0</v>
      </c>
      <c r="F14" s="16" t="str">
        <f t="shared" si="0"/>
        <v>H</v>
      </c>
    </row>
    <row r="15" spans="1:9" ht="18">
      <c r="A15" s="1">
        <v>14</v>
      </c>
      <c r="B15" s="2" t="s">
        <v>47</v>
      </c>
      <c r="C15" s="2" t="s">
        <v>38</v>
      </c>
      <c r="D15" s="15">
        <v>0</v>
      </c>
      <c r="E15" s="15">
        <v>2</v>
      </c>
      <c r="F15" s="16" t="str">
        <f t="shared" si="0"/>
        <v>A</v>
      </c>
    </row>
    <row r="16" spans="1:9" ht="18">
      <c r="A16" s="1">
        <v>15</v>
      </c>
      <c r="B16" s="2" t="s">
        <v>45</v>
      </c>
      <c r="C16" s="2" t="s">
        <v>48</v>
      </c>
      <c r="D16" s="15">
        <v>2</v>
      </c>
      <c r="E16" s="15">
        <v>1</v>
      </c>
      <c r="F16" s="16" t="str">
        <f t="shared" si="0"/>
        <v>H</v>
      </c>
    </row>
    <row r="17" spans="1:6" ht="18">
      <c r="A17" s="1">
        <v>16</v>
      </c>
      <c r="B17" s="2" t="s">
        <v>49</v>
      </c>
      <c r="C17" s="2" t="s">
        <v>50</v>
      </c>
      <c r="D17" s="15">
        <v>2</v>
      </c>
      <c r="E17" s="15">
        <v>2</v>
      </c>
      <c r="F17" s="16" t="str">
        <f t="shared" si="0"/>
        <v>D</v>
      </c>
    </row>
    <row r="18" spans="1:6" ht="18">
      <c r="A18" s="1">
        <v>17</v>
      </c>
      <c r="B18" s="2" t="s">
        <v>12</v>
      </c>
      <c r="C18" s="2" t="s">
        <v>16</v>
      </c>
      <c r="D18" s="15">
        <v>3</v>
      </c>
      <c r="E18" s="15">
        <v>1</v>
      </c>
      <c r="F18" s="16" t="str">
        <f t="shared" si="0"/>
        <v>H</v>
      </c>
    </row>
    <row r="19" spans="1:6" ht="18">
      <c r="A19" s="1">
        <v>18</v>
      </c>
      <c r="B19" s="2" t="s">
        <v>24</v>
      </c>
      <c r="C19" s="2" t="s">
        <v>19</v>
      </c>
      <c r="D19" s="15">
        <v>2</v>
      </c>
      <c r="E19" s="15">
        <v>1</v>
      </c>
      <c r="F19" s="16" t="str">
        <f t="shared" si="0"/>
        <v>H</v>
      </c>
    </row>
    <row r="20" spans="1:6" ht="18">
      <c r="A20" s="1">
        <v>19</v>
      </c>
      <c r="B20" s="2" t="s">
        <v>17</v>
      </c>
      <c r="C20" s="2" t="s">
        <v>13</v>
      </c>
      <c r="D20" s="15">
        <v>4</v>
      </c>
      <c r="E20" s="15">
        <v>0</v>
      </c>
      <c r="F20" s="16" t="str">
        <f t="shared" si="0"/>
        <v>H</v>
      </c>
    </row>
    <row r="21" spans="1:6" ht="18">
      <c r="A21" s="1">
        <v>20</v>
      </c>
      <c r="B21" s="2" t="s">
        <v>21</v>
      </c>
      <c r="C21" s="2" t="s">
        <v>25</v>
      </c>
      <c r="D21" s="15">
        <v>0</v>
      </c>
      <c r="E21" s="15">
        <v>4</v>
      </c>
      <c r="F21" s="16" t="str">
        <f t="shared" si="0"/>
        <v>A</v>
      </c>
    </row>
    <row r="22" spans="1:6" ht="18">
      <c r="A22" s="1">
        <v>21</v>
      </c>
      <c r="B22" s="2" t="s">
        <v>30</v>
      </c>
      <c r="C22" s="2" t="s">
        <v>26</v>
      </c>
      <c r="D22" s="15">
        <v>2</v>
      </c>
      <c r="E22" s="15">
        <v>1</v>
      </c>
      <c r="F22" s="16" t="str">
        <f t="shared" si="0"/>
        <v>H</v>
      </c>
    </row>
    <row r="23" spans="1:6" ht="18">
      <c r="A23" s="1">
        <v>22</v>
      </c>
      <c r="B23" s="2" t="s">
        <v>20</v>
      </c>
      <c r="C23" s="2" t="s">
        <v>29</v>
      </c>
      <c r="D23" s="15">
        <v>3</v>
      </c>
      <c r="E23" s="15">
        <v>0</v>
      </c>
      <c r="F23" s="16" t="str">
        <f t="shared" si="0"/>
        <v>H</v>
      </c>
    </row>
    <row r="24" spans="1:6" ht="18">
      <c r="A24" s="1">
        <v>23</v>
      </c>
      <c r="B24" s="2" t="s">
        <v>27</v>
      </c>
      <c r="C24" s="2" t="s">
        <v>33</v>
      </c>
      <c r="D24" s="15">
        <v>2</v>
      </c>
      <c r="E24" s="15">
        <v>1</v>
      </c>
      <c r="F24" s="16" t="str">
        <f t="shared" si="0"/>
        <v>H</v>
      </c>
    </row>
    <row r="25" spans="1:6" ht="18">
      <c r="A25" s="1">
        <v>24</v>
      </c>
      <c r="B25" s="2" t="s">
        <v>31</v>
      </c>
      <c r="C25" s="2" t="s">
        <v>36</v>
      </c>
      <c r="D25" s="15">
        <v>3</v>
      </c>
      <c r="E25" s="15">
        <v>0</v>
      </c>
      <c r="F25" s="16" t="str">
        <f t="shared" si="0"/>
        <v>H</v>
      </c>
    </row>
    <row r="26" spans="1:6" ht="18">
      <c r="A26" s="1">
        <v>25</v>
      </c>
      <c r="B26" s="2" t="s">
        <v>34</v>
      </c>
      <c r="C26" s="2" t="s">
        <v>28</v>
      </c>
      <c r="D26" s="15">
        <v>1</v>
      </c>
      <c r="E26" s="15">
        <v>2</v>
      </c>
      <c r="F26" s="16" t="str">
        <f t="shared" si="0"/>
        <v>A</v>
      </c>
    </row>
    <row r="27" spans="1:6" ht="18">
      <c r="A27" s="1">
        <v>26</v>
      </c>
      <c r="B27" s="2" t="s">
        <v>37</v>
      </c>
      <c r="C27" s="2" t="s">
        <v>42</v>
      </c>
      <c r="D27" s="15">
        <v>2</v>
      </c>
      <c r="E27" s="15">
        <v>2</v>
      </c>
      <c r="F27" s="16" t="str">
        <f t="shared" si="0"/>
        <v>D</v>
      </c>
    </row>
    <row r="28" spans="1:6" ht="18">
      <c r="A28" s="1">
        <v>27</v>
      </c>
      <c r="B28" s="2" t="s">
        <v>41</v>
      </c>
      <c r="C28" s="2" t="s">
        <v>47</v>
      </c>
      <c r="D28" s="15">
        <v>2</v>
      </c>
      <c r="E28" s="15">
        <v>0</v>
      </c>
      <c r="F28" s="16" t="str">
        <f t="shared" si="0"/>
        <v>H</v>
      </c>
    </row>
    <row r="29" spans="1:6" ht="18">
      <c r="A29" s="1">
        <v>28</v>
      </c>
      <c r="B29" s="2" t="s">
        <v>44</v>
      </c>
      <c r="C29" s="2" t="s">
        <v>40</v>
      </c>
      <c r="D29" s="15">
        <v>0</v>
      </c>
      <c r="E29" s="15">
        <v>2</v>
      </c>
      <c r="F29" s="16" t="str">
        <f t="shared" si="0"/>
        <v>A</v>
      </c>
    </row>
    <row r="30" spans="1:6" ht="18">
      <c r="A30" s="1">
        <v>29</v>
      </c>
      <c r="B30" s="2" t="s">
        <v>11</v>
      </c>
      <c r="C30" s="2" t="s">
        <v>43</v>
      </c>
      <c r="D30" s="15">
        <v>3</v>
      </c>
      <c r="E30" s="15">
        <v>1</v>
      </c>
      <c r="F30" s="16" t="str">
        <f t="shared" si="0"/>
        <v>H</v>
      </c>
    </row>
    <row r="31" spans="1:6" ht="18">
      <c r="A31" s="1">
        <v>30</v>
      </c>
      <c r="B31" s="2" t="s">
        <v>38</v>
      </c>
      <c r="C31" s="2" t="s">
        <v>46</v>
      </c>
      <c r="D31" s="15">
        <v>3</v>
      </c>
      <c r="E31" s="15">
        <v>0</v>
      </c>
      <c r="F31" s="16" t="str">
        <f t="shared" si="0"/>
        <v>H</v>
      </c>
    </row>
    <row r="32" spans="1:6" ht="18">
      <c r="A32" s="1">
        <v>31</v>
      </c>
      <c r="B32" s="2" t="s">
        <v>48</v>
      </c>
      <c r="C32" s="2" t="s">
        <v>50</v>
      </c>
      <c r="D32" s="15">
        <v>1</v>
      </c>
      <c r="E32" s="15">
        <v>1</v>
      </c>
      <c r="F32" s="16" t="str">
        <f t="shared" si="0"/>
        <v>D</v>
      </c>
    </row>
    <row r="33" spans="1:6" ht="18">
      <c r="A33" s="1">
        <v>32</v>
      </c>
      <c r="B33" s="2" t="s">
        <v>49</v>
      </c>
      <c r="C33" s="2" t="s">
        <v>45</v>
      </c>
      <c r="D33" s="15">
        <v>0</v>
      </c>
      <c r="E33" s="15">
        <v>0</v>
      </c>
      <c r="F33" s="16" t="str">
        <f t="shared" si="0"/>
        <v>D</v>
      </c>
    </row>
    <row r="34" spans="1:6" ht="18">
      <c r="A34" s="1">
        <v>33</v>
      </c>
      <c r="B34" s="2" t="s">
        <v>13</v>
      </c>
      <c r="C34" s="2" t="s">
        <v>16</v>
      </c>
      <c r="D34" s="15">
        <v>1</v>
      </c>
      <c r="E34" s="15">
        <v>2</v>
      </c>
      <c r="F34" s="16" t="str">
        <f t="shared" si="0"/>
        <v>A</v>
      </c>
    </row>
    <row r="35" spans="1:6" ht="18">
      <c r="A35" s="1">
        <v>34</v>
      </c>
      <c r="B35" s="2" t="s">
        <v>17</v>
      </c>
      <c r="C35" s="2" t="s">
        <v>12</v>
      </c>
      <c r="D35" s="15">
        <v>1</v>
      </c>
      <c r="E35" s="15">
        <v>1</v>
      </c>
      <c r="F35" s="16" t="str">
        <f t="shared" si="0"/>
        <v>D</v>
      </c>
    </row>
    <row r="36" spans="1:6" ht="18">
      <c r="A36" s="1">
        <v>35</v>
      </c>
      <c r="B36" s="2" t="s">
        <v>21</v>
      </c>
      <c r="C36" s="2" t="s">
        <v>24</v>
      </c>
      <c r="D36" s="15">
        <v>1</v>
      </c>
      <c r="E36" s="15">
        <v>2</v>
      </c>
      <c r="F36" s="16" t="str">
        <f t="shared" si="0"/>
        <v>A</v>
      </c>
    </row>
    <row r="37" spans="1:6" ht="18">
      <c r="A37" s="1">
        <v>36</v>
      </c>
      <c r="B37" s="2" t="s">
        <v>25</v>
      </c>
      <c r="C37" s="2" t="s">
        <v>19</v>
      </c>
      <c r="D37" s="15">
        <v>3</v>
      </c>
      <c r="E37" s="15">
        <v>1</v>
      </c>
      <c r="F37" s="16" t="str">
        <f t="shared" si="0"/>
        <v>H</v>
      </c>
    </row>
    <row r="38" spans="1:6" ht="18">
      <c r="A38" s="1">
        <v>37</v>
      </c>
      <c r="B38" s="2" t="s">
        <v>26</v>
      </c>
      <c r="C38" s="2" t="s">
        <v>29</v>
      </c>
      <c r="D38" s="15">
        <v>1</v>
      </c>
      <c r="E38" s="15">
        <v>1</v>
      </c>
      <c r="F38" s="16" t="str">
        <f t="shared" si="0"/>
        <v>D</v>
      </c>
    </row>
    <row r="39" spans="1:6" ht="18">
      <c r="A39" s="1">
        <v>38</v>
      </c>
      <c r="B39" s="2" t="s">
        <v>30</v>
      </c>
      <c r="C39" s="2" t="s">
        <v>20</v>
      </c>
      <c r="D39" s="15">
        <v>1</v>
      </c>
      <c r="E39" s="15">
        <v>2</v>
      </c>
      <c r="F39" s="16" t="str">
        <f t="shared" si="0"/>
        <v>A</v>
      </c>
    </row>
    <row r="40" spans="1:6" ht="18">
      <c r="A40" s="1">
        <v>39</v>
      </c>
      <c r="B40" s="2" t="s">
        <v>28</v>
      </c>
      <c r="C40" s="2" t="s">
        <v>33</v>
      </c>
      <c r="D40" s="15">
        <v>1</v>
      </c>
      <c r="E40" s="15">
        <v>1</v>
      </c>
      <c r="F40" s="16" t="str">
        <f t="shared" si="0"/>
        <v>D</v>
      </c>
    </row>
    <row r="41" spans="1:6" ht="18">
      <c r="A41" s="1">
        <v>40</v>
      </c>
      <c r="B41" s="2" t="s">
        <v>34</v>
      </c>
      <c r="C41" s="2" t="s">
        <v>27</v>
      </c>
      <c r="D41" s="15">
        <v>0</v>
      </c>
      <c r="E41" s="15">
        <v>3</v>
      </c>
      <c r="F41" s="16" t="str">
        <f t="shared" si="0"/>
        <v>A</v>
      </c>
    </row>
    <row r="42" spans="1:6" ht="18">
      <c r="A42" s="1">
        <v>41</v>
      </c>
      <c r="B42" s="2" t="s">
        <v>40</v>
      </c>
      <c r="C42" s="2" t="s">
        <v>43</v>
      </c>
      <c r="D42" s="15">
        <v>1</v>
      </c>
      <c r="E42" s="15">
        <v>1</v>
      </c>
      <c r="F42" s="16" t="str">
        <f t="shared" si="0"/>
        <v>D</v>
      </c>
    </row>
    <row r="43" spans="1:6" ht="18">
      <c r="A43" s="1">
        <v>42</v>
      </c>
      <c r="B43" s="2" t="s">
        <v>44</v>
      </c>
      <c r="C43" s="2" t="s">
        <v>11</v>
      </c>
      <c r="D43" s="15">
        <v>0</v>
      </c>
      <c r="E43" s="15">
        <v>3</v>
      </c>
      <c r="F43" s="16" t="str">
        <f t="shared" si="0"/>
        <v>A</v>
      </c>
    </row>
    <row r="44" spans="1:6" ht="18">
      <c r="A44" s="1">
        <v>43</v>
      </c>
      <c r="B44" s="2" t="s">
        <v>37</v>
      </c>
      <c r="C44" s="2" t="s">
        <v>31</v>
      </c>
      <c r="D44" s="15">
        <v>1</v>
      </c>
      <c r="E44" s="15">
        <v>2</v>
      </c>
      <c r="F44" s="16" t="str">
        <f t="shared" si="0"/>
        <v>A</v>
      </c>
    </row>
    <row r="45" spans="1:6" ht="18">
      <c r="A45" s="1">
        <v>44</v>
      </c>
      <c r="B45" s="2" t="s">
        <v>42</v>
      </c>
      <c r="C45" s="2" t="s">
        <v>36</v>
      </c>
      <c r="D45" s="15">
        <v>2</v>
      </c>
      <c r="E45" s="15">
        <v>0</v>
      </c>
      <c r="F45" s="16" t="str">
        <f t="shared" si="0"/>
        <v>H</v>
      </c>
    </row>
    <row r="46" spans="1:6" ht="18">
      <c r="A46" s="1">
        <v>45</v>
      </c>
      <c r="B46" s="2" t="s">
        <v>48</v>
      </c>
      <c r="C46" s="2" t="s">
        <v>49</v>
      </c>
      <c r="D46" s="15">
        <v>1</v>
      </c>
      <c r="E46" s="15">
        <v>1</v>
      </c>
      <c r="F46" s="16" t="str">
        <f t="shared" si="0"/>
        <v>D</v>
      </c>
    </row>
    <row r="47" spans="1:6" ht="18">
      <c r="A47" s="1">
        <v>46</v>
      </c>
      <c r="B47" s="2" t="s">
        <v>50</v>
      </c>
      <c r="C47" s="2" t="s">
        <v>45</v>
      </c>
      <c r="D47" s="15">
        <v>1</v>
      </c>
      <c r="E47" s="15">
        <v>2</v>
      </c>
      <c r="F47" s="16" t="str">
        <f t="shared" si="0"/>
        <v>A</v>
      </c>
    </row>
    <row r="48" spans="1:6" ht="18">
      <c r="A48" s="1">
        <v>47</v>
      </c>
      <c r="B48" s="2" t="s">
        <v>38</v>
      </c>
      <c r="C48" s="2" t="s">
        <v>41</v>
      </c>
      <c r="D48" s="15">
        <v>0</v>
      </c>
      <c r="E48" s="15">
        <v>0</v>
      </c>
      <c r="F48" s="16" t="str">
        <f t="shared" si="0"/>
        <v>D</v>
      </c>
    </row>
    <row r="49" spans="1:6" ht="18">
      <c r="A49" s="1">
        <v>48</v>
      </c>
      <c r="B49" s="2" t="s">
        <v>46</v>
      </c>
      <c r="C49" s="2" t="s">
        <v>47</v>
      </c>
      <c r="D49" s="15">
        <v>0</v>
      </c>
      <c r="E49" s="15">
        <v>0</v>
      </c>
      <c r="F49" s="16" t="str">
        <f t="shared" si="0"/>
        <v>D</v>
      </c>
    </row>
  </sheetData>
  <autoFilter ref="A1:F49"/>
  <mergeCells count="1">
    <mergeCell ref="H1:I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I35"/>
  <sheetViews>
    <sheetView workbookViewId="0">
      <pane ySplit="1" topLeftCell="A2" activePane="bottomLeft" state="frozen"/>
      <selection pane="bottomLeft" activeCell="I18" sqref="I18"/>
    </sheetView>
  </sheetViews>
  <sheetFormatPr baseColWidth="10" defaultColWidth="14.5" defaultRowHeight="15.75" customHeight="1" x14ac:dyDescent="0"/>
  <cols>
    <col min="1" max="1" width="14.83203125" customWidth="1"/>
    <col min="2" max="2" width="14.83203125" hidden="1" customWidth="1"/>
    <col min="3" max="3" width="21.83203125" bestFit="1" customWidth="1"/>
    <col min="4" max="9" width="20.1640625" customWidth="1"/>
  </cols>
  <sheetData>
    <row r="1" spans="1:9" ht="18">
      <c r="A1" s="1" t="s">
        <v>0</v>
      </c>
      <c r="B1" s="1" t="s">
        <v>52</v>
      </c>
      <c r="C1" s="1" t="s">
        <v>2</v>
      </c>
      <c r="D1" s="1" t="s">
        <v>4</v>
      </c>
      <c r="E1" s="1" t="s">
        <v>6</v>
      </c>
      <c r="F1" s="1" t="s">
        <v>94</v>
      </c>
      <c r="G1" s="1" t="s">
        <v>95</v>
      </c>
      <c r="H1" s="1" t="s">
        <v>96</v>
      </c>
      <c r="I1" s="1" t="s">
        <v>10</v>
      </c>
    </row>
    <row r="2" spans="1:9" ht="18">
      <c r="A2" s="1" t="s">
        <v>16</v>
      </c>
      <c r="B2" s="1" t="str">
        <f t="shared" ref="B2:B33" si="0">C2&amp;D2</f>
        <v>A3</v>
      </c>
      <c r="C2" s="1" t="s">
        <v>18</v>
      </c>
      <c r="D2" s="12">
        <v>3</v>
      </c>
      <c r="E2" s="17" t="str">
        <f>IF(D2&lt;3,1,"")</f>
        <v/>
      </c>
      <c r="F2" s="12"/>
      <c r="G2" s="13"/>
      <c r="H2" s="13"/>
      <c r="I2" s="13"/>
    </row>
    <row r="3" spans="1:9" ht="18">
      <c r="A3" s="1" t="s">
        <v>12</v>
      </c>
      <c r="B3" s="1" t="str">
        <f t="shared" si="0"/>
        <v>A1</v>
      </c>
      <c r="C3" s="1" t="s">
        <v>18</v>
      </c>
      <c r="D3" s="12">
        <v>1</v>
      </c>
      <c r="E3" s="17">
        <f t="shared" ref="E3:E33" si="1">IF(D3&lt;3,1,"")</f>
        <v>1</v>
      </c>
      <c r="F3" s="12">
        <v>1</v>
      </c>
      <c r="G3" s="13"/>
      <c r="H3" s="13"/>
      <c r="I3" s="13"/>
    </row>
    <row r="4" spans="1:9" ht="18">
      <c r="A4" s="1" t="s">
        <v>13</v>
      </c>
      <c r="B4" s="1" t="str">
        <f t="shared" si="0"/>
        <v>A4</v>
      </c>
      <c r="C4" s="1" t="s">
        <v>18</v>
      </c>
      <c r="D4" s="12">
        <v>4</v>
      </c>
      <c r="E4" s="17" t="str">
        <f t="shared" si="1"/>
        <v/>
      </c>
      <c r="F4" s="13"/>
      <c r="G4" s="13"/>
      <c r="H4" s="13"/>
      <c r="I4" s="13"/>
    </row>
    <row r="5" spans="1:9" ht="18">
      <c r="A5" s="1" t="s">
        <v>17</v>
      </c>
      <c r="B5" s="1" t="str">
        <f t="shared" si="0"/>
        <v>A2</v>
      </c>
      <c r="C5" s="1" t="s">
        <v>18</v>
      </c>
      <c r="D5" s="12">
        <v>2</v>
      </c>
      <c r="E5" s="17">
        <f t="shared" si="1"/>
        <v>1</v>
      </c>
      <c r="F5" s="13"/>
      <c r="G5" s="13"/>
      <c r="H5" s="13"/>
      <c r="I5" s="13"/>
    </row>
    <row r="6" spans="1:9" ht="18">
      <c r="A6" s="1" t="s">
        <v>21</v>
      </c>
      <c r="B6" s="1" t="str">
        <f t="shared" si="0"/>
        <v>B4</v>
      </c>
      <c r="C6" s="1" t="s">
        <v>35</v>
      </c>
      <c r="D6" s="12">
        <v>4</v>
      </c>
      <c r="E6" s="17" t="str">
        <f t="shared" si="1"/>
        <v/>
      </c>
      <c r="F6" s="12"/>
      <c r="G6" s="12"/>
      <c r="H6" s="13"/>
      <c r="I6" s="13"/>
    </row>
    <row r="7" spans="1:9" ht="18">
      <c r="A7" s="1" t="s">
        <v>19</v>
      </c>
      <c r="B7" s="1" t="str">
        <f t="shared" si="0"/>
        <v>B3</v>
      </c>
      <c r="C7" s="1" t="s">
        <v>35</v>
      </c>
      <c r="D7" s="12">
        <v>3</v>
      </c>
      <c r="E7" s="17" t="str">
        <f t="shared" si="1"/>
        <v/>
      </c>
      <c r="F7" s="12"/>
      <c r="G7" s="12"/>
      <c r="H7" s="13"/>
      <c r="I7" s="13"/>
    </row>
    <row r="8" spans="1:9" ht="18">
      <c r="A8" s="1" t="s">
        <v>24</v>
      </c>
      <c r="B8" s="1" t="str">
        <f t="shared" si="0"/>
        <v>B2</v>
      </c>
      <c r="C8" s="1" t="s">
        <v>35</v>
      </c>
      <c r="D8" s="12">
        <v>2</v>
      </c>
      <c r="E8" s="17">
        <f t="shared" si="1"/>
        <v>1</v>
      </c>
      <c r="F8" s="13"/>
      <c r="G8" s="13"/>
      <c r="H8" s="13"/>
      <c r="I8" s="13"/>
    </row>
    <row r="9" spans="1:9" ht="18">
      <c r="A9" s="1" t="s">
        <v>25</v>
      </c>
      <c r="B9" s="1" t="str">
        <f t="shared" si="0"/>
        <v>B1</v>
      </c>
      <c r="C9" s="1" t="s">
        <v>35</v>
      </c>
      <c r="D9" s="12">
        <v>1</v>
      </c>
      <c r="E9" s="17">
        <f t="shared" si="1"/>
        <v>1</v>
      </c>
      <c r="F9" s="13">
        <v>1</v>
      </c>
      <c r="G9" s="13">
        <v>1</v>
      </c>
      <c r="H9" s="13"/>
      <c r="I9" s="13"/>
    </row>
    <row r="10" spans="1:9" ht="18">
      <c r="A10" s="1" t="s">
        <v>26</v>
      </c>
      <c r="B10" s="1" t="str">
        <f t="shared" si="0"/>
        <v>C4</v>
      </c>
      <c r="C10" s="1" t="s">
        <v>22</v>
      </c>
      <c r="D10" s="12">
        <v>4</v>
      </c>
      <c r="E10" s="17" t="str">
        <f t="shared" si="1"/>
        <v/>
      </c>
      <c r="F10" s="12"/>
      <c r="G10" s="12"/>
      <c r="H10" s="13"/>
      <c r="I10" s="13"/>
    </row>
    <row r="11" spans="1:9" ht="18">
      <c r="A11" s="1" t="s">
        <v>30</v>
      </c>
      <c r="B11" s="1" t="str">
        <f t="shared" si="0"/>
        <v>C3</v>
      </c>
      <c r="C11" s="1" t="s">
        <v>22</v>
      </c>
      <c r="D11" s="12">
        <v>3</v>
      </c>
      <c r="E11" s="17" t="str">
        <f t="shared" si="1"/>
        <v/>
      </c>
      <c r="F11" s="12"/>
      <c r="G11" s="13"/>
      <c r="H11" s="13"/>
      <c r="I11" s="13"/>
    </row>
    <row r="12" spans="1:9" ht="18">
      <c r="A12" s="1" t="s">
        <v>20</v>
      </c>
      <c r="B12" s="1" t="str">
        <f t="shared" si="0"/>
        <v>C1</v>
      </c>
      <c r="C12" s="1" t="s">
        <v>22</v>
      </c>
      <c r="D12" s="12">
        <v>1</v>
      </c>
      <c r="E12" s="17">
        <f t="shared" si="1"/>
        <v>1</v>
      </c>
      <c r="F12" s="13">
        <v>1</v>
      </c>
      <c r="G12" s="13">
        <v>1</v>
      </c>
      <c r="H12" s="13"/>
      <c r="I12" s="13"/>
    </row>
    <row r="13" spans="1:9" ht="18">
      <c r="A13" s="1" t="s">
        <v>29</v>
      </c>
      <c r="B13" s="1" t="str">
        <f t="shared" si="0"/>
        <v>C2</v>
      </c>
      <c r="C13" s="1" t="s">
        <v>22</v>
      </c>
      <c r="D13" s="12">
        <v>2</v>
      </c>
      <c r="E13" s="17">
        <f t="shared" si="1"/>
        <v>1</v>
      </c>
      <c r="F13" s="13"/>
      <c r="G13" s="13"/>
      <c r="H13" s="13"/>
      <c r="I13" s="13"/>
    </row>
    <row r="14" spans="1:9" ht="18">
      <c r="A14" s="1" t="s">
        <v>27</v>
      </c>
      <c r="B14" s="1" t="str">
        <f t="shared" si="0"/>
        <v>D1</v>
      </c>
      <c r="C14" s="1" t="s">
        <v>23</v>
      </c>
      <c r="D14" s="12">
        <v>1</v>
      </c>
      <c r="E14" s="17">
        <f t="shared" si="1"/>
        <v>1</v>
      </c>
      <c r="F14" s="12">
        <v>1</v>
      </c>
      <c r="G14" s="12"/>
      <c r="H14" s="12"/>
      <c r="I14" s="13"/>
    </row>
    <row r="15" spans="1:9" ht="18">
      <c r="A15" s="1" t="s">
        <v>33</v>
      </c>
      <c r="B15" s="1" t="str">
        <f t="shared" si="0"/>
        <v>D3</v>
      </c>
      <c r="C15" s="1" t="s">
        <v>23</v>
      </c>
      <c r="D15" s="12">
        <v>3</v>
      </c>
      <c r="E15" s="17" t="str">
        <f t="shared" si="1"/>
        <v/>
      </c>
      <c r="F15" s="12"/>
      <c r="G15" s="13"/>
      <c r="H15" s="13"/>
      <c r="I15" s="13"/>
    </row>
    <row r="16" spans="1:9" ht="18">
      <c r="A16" s="1" t="s">
        <v>28</v>
      </c>
      <c r="B16" s="1" t="str">
        <f t="shared" si="0"/>
        <v>D2</v>
      </c>
      <c r="C16" s="1" t="s">
        <v>23</v>
      </c>
      <c r="D16" s="12">
        <v>2</v>
      </c>
      <c r="E16" s="17">
        <f t="shared" si="1"/>
        <v>1</v>
      </c>
      <c r="F16" s="13"/>
      <c r="G16" s="13"/>
      <c r="H16" s="13"/>
      <c r="I16" s="13"/>
    </row>
    <row r="17" spans="1:9" ht="18">
      <c r="A17" s="1" t="s">
        <v>34</v>
      </c>
      <c r="B17" s="1" t="str">
        <f t="shared" si="0"/>
        <v>D4</v>
      </c>
      <c r="C17" s="1" t="s">
        <v>23</v>
      </c>
      <c r="D17" s="12">
        <v>4</v>
      </c>
      <c r="E17" s="17" t="str">
        <f t="shared" si="1"/>
        <v/>
      </c>
      <c r="F17" s="13"/>
      <c r="G17" s="13"/>
      <c r="H17" s="13"/>
      <c r="I17" s="13"/>
    </row>
    <row r="18" spans="1:9" ht="18">
      <c r="A18" s="1" t="s">
        <v>31</v>
      </c>
      <c r="B18" s="1" t="str">
        <f t="shared" si="0"/>
        <v>E1</v>
      </c>
      <c r="C18" s="1" t="s">
        <v>32</v>
      </c>
      <c r="D18" s="12">
        <v>1</v>
      </c>
      <c r="E18" s="17">
        <f t="shared" si="1"/>
        <v>1</v>
      </c>
      <c r="F18" s="12">
        <v>1</v>
      </c>
      <c r="G18" s="12">
        <v>1</v>
      </c>
      <c r="H18" s="13">
        <v>1</v>
      </c>
      <c r="I18" s="13">
        <v>1</v>
      </c>
    </row>
    <row r="19" spans="1:9" ht="18">
      <c r="A19" s="1" t="s">
        <v>36</v>
      </c>
      <c r="B19" s="1" t="str">
        <f t="shared" si="0"/>
        <v>E4</v>
      </c>
      <c r="C19" s="1" t="s">
        <v>32</v>
      </c>
      <c r="D19" s="12">
        <v>4</v>
      </c>
      <c r="E19" s="17" t="str">
        <f t="shared" si="1"/>
        <v/>
      </c>
      <c r="F19" s="12"/>
      <c r="G19" s="13"/>
      <c r="H19" s="13"/>
      <c r="I19" s="13"/>
    </row>
    <row r="20" spans="1:9" ht="18">
      <c r="A20" s="1" t="s">
        <v>37</v>
      </c>
      <c r="B20" s="1" t="str">
        <f t="shared" si="0"/>
        <v>E2</v>
      </c>
      <c r="C20" s="1" t="s">
        <v>32</v>
      </c>
      <c r="D20" s="12">
        <v>2</v>
      </c>
      <c r="E20" s="17">
        <f t="shared" si="1"/>
        <v>1</v>
      </c>
      <c r="F20" s="13"/>
      <c r="G20" s="13"/>
      <c r="H20" s="13"/>
      <c r="I20" s="13"/>
    </row>
    <row r="21" spans="1:9" ht="18">
      <c r="A21" s="1" t="s">
        <v>42</v>
      </c>
      <c r="B21" s="1" t="str">
        <f t="shared" si="0"/>
        <v>E3</v>
      </c>
      <c r="C21" s="1" t="s">
        <v>32</v>
      </c>
      <c r="D21" s="12">
        <v>3</v>
      </c>
      <c r="E21" s="17" t="str">
        <f t="shared" si="1"/>
        <v/>
      </c>
      <c r="F21" s="13"/>
      <c r="G21" s="13"/>
      <c r="H21" s="13"/>
      <c r="I21" s="13"/>
    </row>
    <row r="22" spans="1:9" ht="18">
      <c r="A22" s="1" t="s">
        <v>11</v>
      </c>
      <c r="B22" s="1" t="str">
        <f t="shared" si="0"/>
        <v>F1</v>
      </c>
      <c r="C22" s="1" t="s">
        <v>14</v>
      </c>
      <c r="D22" s="12">
        <v>1</v>
      </c>
      <c r="E22" s="17">
        <f t="shared" si="1"/>
        <v>1</v>
      </c>
      <c r="F22" s="12">
        <v>1</v>
      </c>
      <c r="G22" s="12">
        <v>1</v>
      </c>
      <c r="H22" s="12">
        <v>1</v>
      </c>
      <c r="I22" s="12"/>
    </row>
    <row r="23" spans="1:9" ht="18">
      <c r="A23" s="1" t="s">
        <v>40</v>
      </c>
      <c r="B23" s="1" t="str">
        <f t="shared" si="0"/>
        <v>F2</v>
      </c>
      <c r="C23" s="1" t="s">
        <v>14</v>
      </c>
      <c r="D23" s="12">
        <v>2</v>
      </c>
      <c r="E23" s="17">
        <f t="shared" si="1"/>
        <v>1</v>
      </c>
      <c r="F23" s="13"/>
      <c r="G23" s="13"/>
      <c r="H23" s="13"/>
      <c r="I23" s="13"/>
    </row>
    <row r="24" spans="1:9" ht="18">
      <c r="A24" s="1" t="s">
        <v>44</v>
      </c>
      <c r="B24" s="1" t="str">
        <f t="shared" si="0"/>
        <v>F4</v>
      </c>
      <c r="C24" s="1" t="s">
        <v>14</v>
      </c>
      <c r="D24" s="12">
        <v>4</v>
      </c>
      <c r="E24" s="17" t="str">
        <f t="shared" si="1"/>
        <v/>
      </c>
      <c r="F24" s="12"/>
      <c r="G24" s="13"/>
      <c r="H24" s="13"/>
      <c r="I24" s="13"/>
    </row>
    <row r="25" spans="1:9" ht="18">
      <c r="A25" s="1" t="s">
        <v>43</v>
      </c>
      <c r="B25" s="1" t="str">
        <f t="shared" si="0"/>
        <v>F3</v>
      </c>
      <c r="C25" s="1" t="s">
        <v>14</v>
      </c>
      <c r="D25" s="12">
        <v>3</v>
      </c>
      <c r="E25" s="17" t="str">
        <f t="shared" si="1"/>
        <v/>
      </c>
      <c r="F25" s="13"/>
      <c r="G25" s="13"/>
      <c r="H25" s="13"/>
      <c r="I25" s="13"/>
    </row>
    <row r="26" spans="1:9" ht="18">
      <c r="A26" s="1" t="s">
        <v>41</v>
      </c>
      <c r="B26" s="1" t="str">
        <f t="shared" si="0"/>
        <v>G1</v>
      </c>
      <c r="C26" s="1" t="s">
        <v>39</v>
      </c>
      <c r="D26" s="12">
        <v>1</v>
      </c>
      <c r="E26" s="17">
        <f t="shared" si="1"/>
        <v>1</v>
      </c>
      <c r="F26" s="12">
        <v>1</v>
      </c>
      <c r="G26" s="12"/>
      <c r="H26" s="13"/>
      <c r="I26" s="13"/>
    </row>
    <row r="27" spans="1:9" ht="18">
      <c r="A27" s="1" t="s">
        <v>38</v>
      </c>
      <c r="B27" s="1" t="str">
        <f t="shared" si="0"/>
        <v>G2</v>
      </c>
      <c r="C27" s="1" t="s">
        <v>39</v>
      </c>
      <c r="D27" s="12">
        <v>2</v>
      </c>
      <c r="E27" s="17">
        <f t="shared" si="1"/>
        <v>1</v>
      </c>
      <c r="F27" s="12"/>
      <c r="G27" s="12"/>
      <c r="H27" s="13"/>
      <c r="I27" s="13"/>
    </row>
    <row r="28" spans="1:9" ht="18">
      <c r="A28" s="1" t="s">
        <v>46</v>
      </c>
      <c r="B28" s="1" t="str">
        <f t="shared" si="0"/>
        <v>G3</v>
      </c>
      <c r="C28" s="1" t="s">
        <v>39</v>
      </c>
      <c r="D28" s="12">
        <v>3</v>
      </c>
      <c r="E28" s="17" t="str">
        <f t="shared" si="1"/>
        <v/>
      </c>
      <c r="F28" s="13"/>
      <c r="G28" s="13"/>
      <c r="H28" s="13"/>
      <c r="I28" s="13"/>
    </row>
    <row r="29" spans="1:9" ht="18">
      <c r="A29" s="1" t="s">
        <v>47</v>
      </c>
      <c r="B29" s="1" t="str">
        <f t="shared" si="0"/>
        <v>G4</v>
      </c>
      <c r="C29" s="1" t="s">
        <v>39</v>
      </c>
      <c r="D29" s="12">
        <v>4</v>
      </c>
      <c r="E29" s="17" t="str">
        <f t="shared" si="1"/>
        <v/>
      </c>
      <c r="F29" s="13"/>
      <c r="G29" s="13"/>
      <c r="H29" s="13"/>
      <c r="I29" s="13"/>
    </row>
    <row r="30" spans="1:9" ht="18">
      <c r="A30" s="1" t="s">
        <v>45</v>
      </c>
      <c r="B30" s="1" t="str">
        <f t="shared" si="0"/>
        <v>H1</v>
      </c>
      <c r="C30" s="1" t="s">
        <v>15</v>
      </c>
      <c r="D30" s="12">
        <v>1</v>
      </c>
      <c r="E30" s="17">
        <f t="shared" si="1"/>
        <v>1</v>
      </c>
      <c r="F30" s="12">
        <v>1</v>
      </c>
      <c r="G30" s="12"/>
      <c r="H30" s="13"/>
      <c r="I30" s="13"/>
    </row>
    <row r="31" spans="1:9" ht="18">
      <c r="A31" s="1" t="s">
        <v>48</v>
      </c>
      <c r="B31" s="1" t="str">
        <f t="shared" si="0"/>
        <v>H3</v>
      </c>
      <c r="C31" s="1" t="s">
        <v>15</v>
      </c>
      <c r="D31" s="12">
        <v>3</v>
      </c>
      <c r="E31" s="17" t="str">
        <f t="shared" si="1"/>
        <v/>
      </c>
      <c r="F31" s="13"/>
      <c r="G31" s="13"/>
      <c r="H31" s="13"/>
      <c r="I31" s="13"/>
    </row>
    <row r="32" spans="1:9" ht="18">
      <c r="A32" s="1" t="s">
        <v>49</v>
      </c>
      <c r="B32" s="1" t="str">
        <f t="shared" si="0"/>
        <v>H2</v>
      </c>
      <c r="C32" s="1" t="s">
        <v>15</v>
      </c>
      <c r="D32" s="12">
        <v>2</v>
      </c>
      <c r="E32" s="17">
        <f t="shared" si="1"/>
        <v>1</v>
      </c>
      <c r="F32" s="12"/>
      <c r="G32" s="13"/>
      <c r="H32" s="13"/>
      <c r="I32" s="13"/>
    </row>
    <row r="33" spans="1:9" ht="18">
      <c r="A33" s="1" t="s">
        <v>50</v>
      </c>
      <c r="B33" s="1" t="str">
        <f t="shared" si="0"/>
        <v>H4</v>
      </c>
      <c r="C33" s="1" t="s">
        <v>15</v>
      </c>
      <c r="D33" s="12">
        <v>4</v>
      </c>
      <c r="E33" s="17" t="str">
        <f t="shared" si="1"/>
        <v/>
      </c>
      <c r="F33" s="13"/>
      <c r="G33" s="13"/>
      <c r="H33" s="13"/>
      <c r="I33" s="13"/>
    </row>
    <row r="34" spans="1:9" ht="18">
      <c r="A34" s="6"/>
      <c r="B34" s="6"/>
      <c r="C34" s="6"/>
      <c r="D34" s="6"/>
      <c r="E34" s="7"/>
      <c r="F34" s="7"/>
      <c r="G34" s="3"/>
      <c r="H34" s="3"/>
      <c r="I34" s="3"/>
    </row>
    <row r="35" spans="1:9" ht="15.75" customHeight="1">
      <c r="G35" s="3"/>
    </row>
  </sheetData>
  <autoFilter ref="A1:I33">
    <sortState ref="A2:I33">
      <sortCondition ref="C2:C33"/>
      <sortCondition ref="D2:D33"/>
    </sortState>
  </autoFilter>
  <dataValidations count="3">
    <dataValidation type="whole" allowBlank="1" showInputMessage="1" showErrorMessage="1" sqref="D1:E1 A1:C1">
      <formula1>1</formula1>
      <formula2>4</formula2>
    </dataValidation>
    <dataValidation type="whole" allowBlank="1" showInputMessage="1" showErrorMessage="1" errorTitle="Choose final position 1 to 4" promptTitle="Enter 1-4" sqref="D2:D33">
      <formula1>1</formula1>
      <formula2>4</formula2>
    </dataValidation>
    <dataValidation type="whole" allowBlank="1" showInputMessage="1" showErrorMessage="1" errorTitle="Enter 1 or leave blank" error="Enter a 1 if you think they'll make it, blank otherwise." promptTitle="Enter 1 or leave blank" sqref="E2:I33">
      <formula1>0</formula1>
      <formula2>1</formula2>
    </dataValidation>
  </dataValidations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baseColWidth="10" defaultRowHeight="12" x14ac:dyDescent="0"/>
  <cols>
    <col min="1" max="1" width="54.83203125" bestFit="1" customWidth="1"/>
    <col min="2" max="2" width="29.1640625" customWidth="1"/>
  </cols>
  <sheetData>
    <row r="1" spans="1:2" ht="136" customHeight="1">
      <c r="A1" s="20" t="s">
        <v>61</v>
      </c>
      <c r="B1" s="14" t="s">
        <v>97</v>
      </c>
    </row>
    <row r="2" spans="1:2" ht="136" customHeight="1">
      <c r="A2" s="20" t="s">
        <v>88</v>
      </c>
      <c r="B2" s="14">
        <v>6</v>
      </c>
    </row>
    <row r="3" spans="1:2" ht="136" customHeight="1">
      <c r="A3" s="20" t="s">
        <v>85</v>
      </c>
      <c r="B3" s="14">
        <v>4</v>
      </c>
    </row>
  </sheetData>
  <dataValidations count="1">
    <dataValidation type="whole" allowBlank="1" showInputMessage="1" showErrorMessage="1" sqref="B2:B3">
      <formula1>1</formula1>
      <formula2>100</formula2>
    </dataValidation>
  </dataValidations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A17" sqref="A17:F22"/>
    </sheetView>
  </sheetViews>
  <sheetFormatPr baseColWidth="10" defaultRowHeight="12" x14ac:dyDescent="0"/>
  <cols>
    <col min="1" max="1" width="15.1640625" bestFit="1" customWidth="1"/>
    <col min="2" max="5" width="12.6640625" bestFit="1" customWidth="1"/>
    <col min="7" max="7" width="15.1640625" bestFit="1" customWidth="1"/>
    <col min="8" max="8" width="25.33203125" bestFit="1" customWidth="1"/>
    <col min="9" max="9" width="3.33203125" bestFit="1" customWidth="1"/>
    <col min="11" max="11" width="20" bestFit="1" customWidth="1"/>
  </cols>
  <sheetData>
    <row r="1" spans="1:12" ht="14">
      <c r="A1" s="8" t="s">
        <v>53</v>
      </c>
      <c r="B1" s="8">
        <v>1</v>
      </c>
      <c r="C1" s="9">
        <v>2</v>
      </c>
      <c r="D1" s="9">
        <v>3</v>
      </c>
      <c r="E1" s="9">
        <v>4</v>
      </c>
      <c r="G1" s="8" t="s">
        <v>54</v>
      </c>
      <c r="H1" s="9" t="str">
        <f>IF(SUM('Elimination Rounds'!E2:E33)=16,"OK","DID NOT SELECT CORRECT NUMBER")</f>
        <v>OK</v>
      </c>
      <c r="I1" s="8" t="s">
        <v>63</v>
      </c>
      <c r="K1" s="8" t="s">
        <v>86</v>
      </c>
      <c r="L1">
        <f>COUNTIF('Goals Scored'!B1:B3,"")</f>
        <v>0</v>
      </c>
    </row>
    <row r="2" spans="1:12" ht="14">
      <c r="A2" s="8" t="s">
        <v>18</v>
      </c>
      <c r="B2" s="9" t="str">
        <f ca="1">IF(ISNA(OFFSET('Elimination Rounds'!$A$1,MATCH($A2&amp;B$1,'Elimination Rounds'!$B$2:$B$33,0),0)),"Choice not made!",OFFSET('Elimination Rounds'!$A$1,MATCH($A2&amp;B$1,'Elimination Rounds'!$B$2:$B$33,0),0))</f>
        <v>Russia</v>
      </c>
      <c r="C2" s="9" t="str">
        <f ca="1">IF(ISNA(OFFSET('Elimination Rounds'!$A$1,MATCH($A2&amp;C$1,'Elimination Rounds'!$B$2:$B$33,0),0)),"Choice not made!",OFFSET('Elimination Rounds'!$A$1,MATCH($A2&amp;C$1,'Elimination Rounds'!$B$2:$B$33,0),0))</f>
        <v>Uruguay</v>
      </c>
      <c r="D2" s="9" t="str">
        <f ca="1">IF(ISNA(OFFSET('Elimination Rounds'!$A$1,MATCH($A2&amp;D$1,'Elimination Rounds'!$B$2:$B$33,0),0)),"Choice not made!",OFFSET('Elimination Rounds'!$A$1,MATCH($A2&amp;D$1,'Elimination Rounds'!$B$2:$B$33,0),0))</f>
        <v>Egypt</v>
      </c>
      <c r="E2" s="9" t="str">
        <f ca="1">IF(ISNA(OFFSET('Elimination Rounds'!$A$1,MATCH($A2&amp;E$1,'Elimination Rounds'!$B$2:$B$33,0),0)),"Choice not made!",OFFSET('Elimination Rounds'!$A$1,MATCH($A2&amp;E$1,'Elimination Rounds'!$B$2:$B$33,0),0))</f>
        <v>Saudi Arabia</v>
      </c>
      <c r="G2" s="8" t="s">
        <v>55</v>
      </c>
      <c r="H2" s="9" t="str">
        <f>IF(SUM('Elimination Rounds'!F2:F33)=8,"OK","DID NOT SELECT CORRECT NUMBER")</f>
        <v>OK</v>
      </c>
      <c r="I2" s="8" t="s">
        <v>64</v>
      </c>
    </row>
    <row r="3" spans="1:12" ht="14">
      <c r="A3" s="8" t="s">
        <v>35</v>
      </c>
      <c r="B3" s="9" t="str">
        <f ca="1">IF(ISNA(OFFSET('Elimination Rounds'!$A$1,MATCH($A3&amp;B$1,'Elimination Rounds'!$B$2:$B$33,0),0)),"Choice not made!",OFFSET('Elimination Rounds'!$A$1,MATCH($A3&amp;B$1,'Elimination Rounds'!$B$2:$B$33,0),0))</f>
        <v>Spain</v>
      </c>
      <c r="C3" s="9" t="str">
        <f ca="1">IF(ISNA(OFFSET('Elimination Rounds'!$A$1,MATCH($A3&amp;C$1,'Elimination Rounds'!$B$2:$B$33,0),0)),"Choice not made!",OFFSET('Elimination Rounds'!$A$1,MATCH($A3&amp;C$1,'Elimination Rounds'!$B$2:$B$33,0),0))</f>
        <v>Portugal</v>
      </c>
      <c r="D3" s="9" t="str">
        <f ca="1">IF(ISNA(OFFSET('Elimination Rounds'!$A$1,MATCH($A3&amp;D$1,'Elimination Rounds'!$B$2:$B$33,0),0)),"Choice not made!",OFFSET('Elimination Rounds'!$A$1,MATCH($A3&amp;D$1,'Elimination Rounds'!$B$2:$B$33,0),0))</f>
        <v>Morocco</v>
      </c>
      <c r="E3" s="9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8" t="s">
        <v>56</v>
      </c>
      <c r="H3" s="9" t="str">
        <f>IF(SUM('Elimination Rounds'!G2:G33)=4,"OK","DID NOT SELECT CORRECT NUMBER")</f>
        <v>OK</v>
      </c>
      <c r="I3" s="8" t="s">
        <v>65</v>
      </c>
    </row>
    <row r="4" spans="1:12" ht="14">
      <c r="A4" s="8" t="s">
        <v>22</v>
      </c>
      <c r="B4" s="9" t="str">
        <f ca="1">IF(ISNA(OFFSET('Elimination Rounds'!$A$1,MATCH($A4&amp;B$1,'Elimination Rounds'!$B$2:$B$33,0),0)),"Choice not made!",OFFSET('Elimination Rounds'!$A$1,MATCH($A4&amp;B$1,'Elimination Rounds'!$B$2:$B$33,0),0))</f>
        <v>France</v>
      </c>
      <c r="C4" s="9" t="str">
        <f ca="1">IF(ISNA(OFFSET('Elimination Rounds'!$A$1,MATCH($A4&amp;C$1,'Elimination Rounds'!$B$2:$B$33,0),0)),"Choice not made!",OFFSET('Elimination Rounds'!$A$1,MATCH($A4&amp;C$1,'Elimination Rounds'!$B$2:$B$33,0),0))</f>
        <v>Peru</v>
      </c>
      <c r="D4" s="9" t="str">
        <f ca="1">IF(ISNA(OFFSET('Elimination Rounds'!$A$1,MATCH($A4&amp;D$1,'Elimination Rounds'!$B$2:$B$33,0),0)),"Choice not made!",OFFSET('Elimination Rounds'!$A$1,MATCH($A4&amp;D$1,'Elimination Rounds'!$B$2:$B$33,0),0))</f>
        <v>Denmark</v>
      </c>
      <c r="E4" s="9" t="str">
        <f ca="1">IF(ISNA(OFFSET('Elimination Rounds'!$A$1,MATCH($A4&amp;E$1,'Elimination Rounds'!$B$2:$B$33,0),0)),"Choice not made!",OFFSET('Elimination Rounds'!$A$1,MATCH($A4&amp;E$1,'Elimination Rounds'!$B$2:$B$33,0),0))</f>
        <v>Australia</v>
      </c>
      <c r="G4" s="8" t="s">
        <v>57</v>
      </c>
      <c r="H4" s="9" t="str">
        <f>IF(SUM('Elimination Rounds'!H2:H33)=2,"OK","DID NOT SELECT CORRECT NUMBER")</f>
        <v>OK</v>
      </c>
      <c r="I4" s="8" t="s">
        <v>66</v>
      </c>
    </row>
    <row r="5" spans="1:12" ht="14">
      <c r="A5" s="8" t="s">
        <v>23</v>
      </c>
      <c r="B5" s="9" t="str">
        <f ca="1">IF(ISNA(OFFSET('Elimination Rounds'!$A$1,MATCH($A5&amp;B$1,'Elimination Rounds'!$B$2:$B$33,0),0)),"Choice not made!",OFFSET('Elimination Rounds'!$A$1,MATCH($A5&amp;B$1,'Elimination Rounds'!$B$2:$B$33,0),0))</f>
        <v>Argentina</v>
      </c>
      <c r="C5" s="9" t="str">
        <f ca="1">IF(ISNA(OFFSET('Elimination Rounds'!$A$1,MATCH($A5&amp;C$1,'Elimination Rounds'!$B$2:$B$33,0),0)),"Choice not made!",OFFSET('Elimination Rounds'!$A$1,MATCH($A5&amp;C$1,'Elimination Rounds'!$B$2:$B$33,0),0))</f>
        <v>Iceland</v>
      </c>
      <c r="D5" s="9" t="str">
        <f ca="1">IF(ISNA(OFFSET('Elimination Rounds'!$A$1,MATCH($A5&amp;D$1,'Elimination Rounds'!$B$2:$B$33,0),0)),"Choice not made!",OFFSET('Elimination Rounds'!$A$1,MATCH($A5&amp;D$1,'Elimination Rounds'!$B$2:$B$33,0),0))</f>
        <v>Croatia</v>
      </c>
      <c r="E5" s="9" t="str">
        <f ca="1">IF(ISNA(OFFSET('Elimination Rounds'!$A$1,MATCH($A5&amp;E$1,'Elimination Rounds'!$B$2:$B$33,0),0)),"Choice not made!",OFFSET('Elimination Rounds'!$A$1,MATCH($A5&amp;E$1,'Elimination Rounds'!$B$2:$B$33,0),0))</f>
        <v>Nigeria</v>
      </c>
      <c r="G5" s="8" t="s">
        <v>58</v>
      </c>
      <c r="H5" s="9" t="str">
        <f>IF(SUM('Elimination Rounds'!I2:I33)=1,"OK","DID NOT SELECT CORRECT NUMBER")</f>
        <v>OK</v>
      </c>
      <c r="I5" s="8" t="s">
        <v>67</v>
      </c>
    </row>
    <row r="6" spans="1:12" ht="14">
      <c r="A6" s="8" t="s">
        <v>32</v>
      </c>
      <c r="B6" s="9" t="str">
        <f ca="1">IF(ISNA(OFFSET('Elimination Rounds'!$A$1,MATCH($A6&amp;B$1,'Elimination Rounds'!$B$2:$B$33,0),0)),"Choice not made!",OFFSET('Elimination Rounds'!$A$1,MATCH($A6&amp;B$1,'Elimination Rounds'!$B$2:$B$33,0),0))</f>
        <v>Brazil</v>
      </c>
      <c r="C6" s="9" t="str">
        <f ca="1">IF(ISNA(OFFSET('Elimination Rounds'!$A$1,MATCH($A6&amp;C$1,'Elimination Rounds'!$B$2:$B$33,0),0)),"Choice not made!",OFFSET('Elimination Rounds'!$A$1,MATCH($A6&amp;C$1,'Elimination Rounds'!$B$2:$B$33,0),0))</f>
        <v>Serbia</v>
      </c>
      <c r="D6" s="9" t="str">
        <f ca="1">IF(ISNA(OFFSET('Elimination Rounds'!$A$1,MATCH($A6&amp;D$1,'Elimination Rounds'!$B$2:$B$33,0),0)),"Choice not made!",OFFSET('Elimination Rounds'!$A$1,MATCH($A6&amp;D$1,'Elimination Rounds'!$B$2:$B$33,0),0))</f>
        <v>Switzerland</v>
      </c>
      <c r="E6" s="9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12" ht="14">
      <c r="A7" s="8" t="s">
        <v>14</v>
      </c>
      <c r="B7" s="9" t="str">
        <f ca="1">IF(ISNA(OFFSET('Elimination Rounds'!$A$1,MATCH($A7&amp;B$1,'Elimination Rounds'!$B$2:$B$33,0),0)),"Choice not made!",OFFSET('Elimination Rounds'!$A$1,MATCH($A7&amp;B$1,'Elimination Rounds'!$B$2:$B$33,0),0))</f>
        <v>Germany</v>
      </c>
      <c r="C7" s="9" t="str">
        <f ca="1">IF(ISNA(OFFSET('Elimination Rounds'!$A$1,MATCH($A7&amp;C$1,'Elimination Rounds'!$B$2:$B$33,0),0)),"Choice not made!",OFFSET('Elimination Rounds'!$A$1,MATCH($A7&amp;C$1,'Elimination Rounds'!$B$2:$B$33,0),0))</f>
        <v>Mexico</v>
      </c>
      <c r="D7" s="9" t="str">
        <f ca="1">IF(ISNA(OFFSET('Elimination Rounds'!$A$1,MATCH($A7&amp;D$1,'Elimination Rounds'!$B$2:$B$33,0),0)),"Choice not made!",OFFSET('Elimination Rounds'!$A$1,MATCH($A7&amp;D$1,'Elimination Rounds'!$B$2:$B$33,0),0))</f>
        <v>Sweden</v>
      </c>
      <c r="E7" s="9" t="str">
        <f ca="1">IF(ISNA(OFFSET('Elimination Rounds'!$A$1,MATCH($A7&amp;E$1,'Elimination Rounds'!$B$2:$B$33,0),0)),"Choice not made!",OFFSET('Elimination Rounds'!$A$1,MATCH($A7&amp;E$1,'Elimination Rounds'!$B$2:$B$33,0),0))</f>
        <v>South Korea</v>
      </c>
    </row>
    <row r="8" spans="1:12" ht="14">
      <c r="A8" s="8" t="s">
        <v>39</v>
      </c>
      <c r="B8" s="9" t="str">
        <f ca="1">IF(ISNA(OFFSET('Elimination Rounds'!$A$1,MATCH($A8&amp;B$1,'Elimination Rounds'!$B$2:$B$33,0),0)),"Choice not made!",OFFSET('Elimination Rounds'!$A$1,MATCH($A8&amp;B$1,'Elimination Rounds'!$B$2:$B$33,0),0))</f>
        <v>Belgium</v>
      </c>
      <c r="C8" s="9" t="str">
        <f ca="1">IF(ISNA(OFFSET('Elimination Rounds'!$A$1,MATCH($A8&amp;C$1,'Elimination Rounds'!$B$2:$B$33,0),0)),"Choice not made!",OFFSET('Elimination Rounds'!$A$1,MATCH($A8&amp;C$1,'Elimination Rounds'!$B$2:$B$33,0),0))</f>
        <v>England</v>
      </c>
      <c r="D8" s="9" t="str">
        <f ca="1">IF(ISNA(OFFSET('Elimination Rounds'!$A$1,MATCH($A8&amp;D$1,'Elimination Rounds'!$B$2:$B$33,0),0)),"Choice not made!",OFFSET('Elimination Rounds'!$A$1,MATCH($A8&amp;D$1,'Elimination Rounds'!$B$2:$B$33,0),0))</f>
        <v>Panama</v>
      </c>
      <c r="E8" s="9" t="str">
        <f ca="1">IF(ISNA(OFFSET('Elimination Rounds'!$A$1,MATCH($A8&amp;E$1,'Elimination Rounds'!$B$2:$B$33,0),0)),"Choice not made!",OFFSET('Elimination Rounds'!$A$1,MATCH($A8&amp;E$1,'Elimination Rounds'!$B$2:$B$33,0),0))</f>
        <v>Tunisia</v>
      </c>
    </row>
    <row r="9" spans="1:12" ht="14">
      <c r="A9" s="8" t="s">
        <v>15</v>
      </c>
      <c r="B9" s="9" t="str">
        <f ca="1">IF(ISNA(OFFSET('Elimination Rounds'!$A$1,MATCH($A9&amp;B$1,'Elimination Rounds'!$B$2:$B$33,0),0)),"Choice not made!",OFFSET('Elimination Rounds'!$A$1,MATCH($A9&amp;B$1,'Elimination Rounds'!$B$2:$B$33,0),0))</f>
        <v>Colombia</v>
      </c>
      <c r="C9" s="9" t="str">
        <f ca="1">IF(ISNA(OFFSET('Elimination Rounds'!$A$1,MATCH($A9&amp;C$1,'Elimination Rounds'!$B$2:$B$33,0),0)),"Choice not made!",OFFSET('Elimination Rounds'!$A$1,MATCH($A9&amp;C$1,'Elimination Rounds'!$B$2:$B$33,0),0))</f>
        <v>Poland</v>
      </c>
      <c r="D9" s="9" t="str">
        <f ca="1">IF(ISNA(OFFSET('Elimination Rounds'!$A$1,MATCH($A9&amp;D$1,'Elimination Rounds'!$B$2:$B$33,0),0)),"Choice not made!",OFFSET('Elimination Rounds'!$A$1,MATCH($A9&amp;D$1,'Elimination Rounds'!$B$2:$B$33,0),0))</f>
        <v>Japan</v>
      </c>
      <c r="E9" s="9" t="str">
        <f ca="1">IF(ISNA(OFFSET('Elimination Rounds'!$A$1,MATCH($A9&amp;E$1,'Elimination Rounds'!$B$2:$B$33,0),0)),"Choice not made!",OFFSET('Elimination Rounds'!$A$1,MATCH($A9&amp;E$1,'Elimination Rounds'!$B$2:$B$33,0),0))</f>
        <v>Senegal</v>
      </c>
    </row>
    <row r="10" spans="1:12" ht="14">
      <c r="A10" s="10"/>
      <c r="B10" s="10"/>
      <c r="C10" s="10"/>
      <c r="D10" s="10"/>
      <c r="E10" s="10"/>
    </row>
    <row r="11" spans="1:12" ht="14">
      <c r="C11" s="10"/>
      <c r="D11" s="10"/>
      <c r="E11" s="10"/>
    </row>
    <row r="12" spans="1:12" ht="14">
      <c r="A12" s="29" t="s">
        <v>60</v>
      </c>
      <c r="B12" s="30">
        <f ca="1">COUNTIF(B2:E9,"Choice not made!")+COUNTIF(H1:H5,"DID NOT SELECT CORRECT NUMBER")+L1</f>
        <v>0</v>
      </c>
      <c r="C12" s="10"/>
      <c r="D12" s="10"/>
      <c r="E12" s="10"/>
    </row>
    <row r="13" spans="1:12" ht="14">
      <c r="A13" s="29"/>
      <c r="B13" s="30"/>
      <c r="C13" s="10"/>
      <c r="D13" s="10"/>
      <c r="E13" s="10"/>
    </row>
    <row r="14" spans="1:12" ht="14">
      <c r="A14" s="29"/>
      <c r="B14" s="30"/>
      <c r="C14" s="10"/>
      <c r="D14" s="10"/>
      <c r="E14" s="10"/>
    </row>
    <row r="15" spans="1:12" ht="14">
      <c r="C15" s="10"/>
      <c r="D15" s="10"/>
      <c r="E15" s="10"/>
    </row>
    <row r="17" spans="1:6">
      <c r="A17" s="28" t="str">
        <f ca="1">IF(B12=0,"GOOD TO GO!","NOT READY TO SUBMIT (SEE ERRORS ABOVE)")</f>
        <v>GOOD TO GO!</v>
      </c>
      <c r="B17" s="28"/>
      <c r="C17" s="28"/>
      <c r="D17" s="28"/>
      <c r="E17" s="28"/>
      <c r="F17" s="28"/>
    </row>
    <row r="18" spans="1:6">
      <c r="A18" s="28"/>
      <c r="B18" s="28"/>
      <c r="C18" s="28"/>
      <c r="D18" s="28"/>
      <c r="E18" s="28"/>
      <c r="F18" s="28"/>
    </row>
    <row r="19" spans="1:6">
      <c r="A19" s="28"/>
      <c r="B19" s="28"/>
      <c r="C19" s="28"/>
      <c r="D19" s="28"/>
      <c r="E19" s="28"/>
      <c r="F19" s="28"/>
    </row>
    <row r="20" spans="1:6">
      <c r="A20" s="28"/>
      <c r="B20" s="28"/>
      <c r="C20" s="28"/>
      <c r="D20" s="28"/>
      <c r="E20" s="28"/>
      <c r="F20" s="28"/>
    </row>
    <row r="21" spans="1:6">
      <c r="A21" s="28"/>
      <c r="B21" s="28"/>
      <c r="C21" s="28"/>
      <c r="D21" s="28"/>
      <c r="E21" s="28"/>
      <c r="F21" s="28"/>
    </row>
    <row r="22" spans="1:6">
      <c r="A22" s="28"/>
      <c r="B22" s="28"/>
      <c r="C22" s="28"/>
      <c r="D22" s="28"/>
      <c r="E22" s="28"/>
      <c r="F22" s="28"/>
    </row>
  </sheetData>
  <mergeCells count="3">
    <mergeCell ref="A17:F22"/>
    <mergeCell ref="A12:A14"/>
    <mergeCell ref="B12:B14"/>
  </mergeCells>
  <conditionalFormatting sqref="B2:E9">
    <cfRule type="expression" dxfId="2" priority="3">
      <formula>"""Choice not made!"""</formula>
    </cfRule>
  </conditionalFormatting>
  <conditionalFormatting sqref="A17:F22">
    <cfRule type="containsText" dxfId="1" priority="1" operator="containsText" text="GOOD TO GO!">
      <formula>NOT(ISERROR(SEARCH("GOOD TO GO!",A17)))</formula>
    </cfRule>
    <cfRule type="containsText" dxfId="0" priority="2" operator="containsText" text="NOT READY">
      <formula>NOT(ISERROR(SEARCH("NOT READY",A17)))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Goals Scored</vt:lpstr>
      <vt:lpstr>Checks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Michael-David</cp:lastModifiedBy>
  <dcterms:created xsi:type="dcterms:W3CDTF">2018-06-14T16:08:02Z</dcterms:created>
  <dcterms:modified xsi:type="dcterms:W3CDTF">2018-06-15T04:50:58Z</dcterms:modified>
</cp:coreProperties>
</file>