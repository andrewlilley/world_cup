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pringnetau-my.sharepoint.com/personal/elliott_day_barrenjoey_com/Documents/Desktop/"/>
    </mc:Choice>
  </mc:AlternateContent>
  <xr:revisionPtr revIDLastSave="374" documentId="13_ncr:1_{1C3082DE-84F6-4C72-8B22-0244C1F0832E}" xr6:coauthVersionLast="47" xr6:coauthVersionMax="47" xr10:uidLastSave="{8F3094CA-38FF-4C07-9ABF-CF51DB3DEB94}"/>
  <bookViews>
    <workbookView xWindow="1550" yWindow="1160" windowWidth="36100" windowHeight="18810" tabRatio="500" activeTab="1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definedNames>
    <definedName name="_xlnm._FilterDatabase" localSheetId="2" hidden="1">'Elimination Rounds'!$AF$7:$AN$7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3" l="1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R42" i="3" a="1"/>
  <c r="R42" i="3" s="1"/>
  <c r="R43" i="3" a="1"/>
  <c r="R43" i="3" s="1"/>
  <c r="R44" i="3" a="1"/>
  <c r="R44" i="3" s="1"/>
  <c r="R45" i="3" a="1"/>
  <c r="R45" i="3" s="1"/>
  <c r="R46" i="3" a="1"/>
  <c r="R46" i="3" s="1"/>
  <c r="R47" i="3" a="1"/>
  <c r="R47" i="3" s="1"/>
  <c r="R48" i="3" a="1"/>
  <c r="R48" i="3" s="1"/>
  <c r="R49" i="3" a="1"/>
  <c r="R49" i="3" s="1"/>
  <c r="R2" i="3" a="1"/>
  <c r="R2" i="3" s="1"/>
  <c r="O3" i="3" a="1"/>
  <c r="O3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 s="1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N33" i="3" a="1"/>
  <c r="N33" i="3" s="1"/>
  <c r="N34" i="3" a="1"/>
  <c r="N34" i="3" s="1"/>
  <c r="N35" i="3" a="1"/>
  <c r="N35" i="3" s="1"/>
  <c r="N36" i="3" a="1"/>
  <c r="N36" i="3" s="1"/>
  <c r="N37" i="3" a="1"/>
  <c r="N37" i="3" s="1"/>
  <c r="N38" i="3" a="1"/>
  <c r="N38" i="3" s="1"/>
  <c r="N39" i="3" a="1"/>
  <c r="N39" i="3" s="1"/>
  <c r="N40" i="3" a="1"/>
  <c r="N40" i="3" s="1"/>
  <c r="N41" i="3" a="1"/>
  <c r="N41" i="3" s="1"/>
  <c r="N42" i="3" a="1"/>
  <c r="N42" i="3" s="1"/>
  <c r="N43" i="3" a="1"/>
  <c r="N43" i="3" s="1"/>
  <c r="N44" i="3" a="1"/>
  <c r="N44" i="3" s="1"/>
  <c r="N45" i="3" a="1"/>
  <c r="N45" i="3" s="1"/>
  <c r="N46" i="3" a="1"/>
  <c r="N46" i="3" s="1"/>
  <c r="N47" i="3" a="1"/>
  <c r="N47" i="3" s="1"/>
  <c r="N48" i="3" a="1"/>
  <c r="N48" i="3" s="1"/>
  <c r="N49" i="3" a="1"/>
  <c r="N49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 s="1"/>
  <c r="M25" i="3" a="1"/>
  <c r="M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M33" i="3" a="1"/>
  <c r="M33" i="3" s="1"/>
  <c r="M34" i="3" a="1"/>
  <c r="M34" i="3" s="1"/>
  <c r="M35" i="3" a="1"/>
  <c r="M35" i="3" s="1"/>
  <c r="M36" i="3" a="1"/>
  <c r="M36" i="3" s="1"/>
  <c r="M37" i="3" a="1"/>
  <c r="M37" i="3" s="1"/>
  <c r="M38" i="3" a="1"/>
  <c r="M38" i="3" s="1"/>
  <c r="M39" i="3" a="1"/>
  <c r="M39" i="3" s="1"/>
  <c r="M40" i="3" a="1"/>
  <c r="M40" i="3" s="1"/>
  <c r="M41" i="3" a="1"/>
  <c r="M41" i="3" s="1"/>
  <c r="M42" i="3" a="1"/>
  <c r="M42" i="3" s="1"/>
  <c r="M43" i="3" a="1"/>
  <c r="M43" i="3" s="1"/>
  <c r="M44" i="3" a="1"/>
  <c r="M44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O2" i="3" a="1"/>
  <c r="O2" i="3" s="1"/>
  <c r="N2" i="3" a="1"/>
  <c r="N2" i="3" s="1"/>
  <c r="M2" i="3" a="1"/>
  <c r="M2" i="3" s="1"/>
  <c r="Q3" i="3" a="1"/>
  <c r="Q3" i="3" s="1"/>
  <c r="Q4" i="3" a="1"/>
  <c r="Q4" i="3" s="1"/>
  <c r="Q5" i="3" a="1"/>
  <c r="Q5" i="3" s="1"/>
  <c r="Q6" i="3" a="1"/>
  <c r="Q6" i="3" s="1"/>
  <c r="Q7" i="3" a="1"/>
  <c r="Q7" i="3" s="1"/>
  <c r="Q8" i="3" a="1"/>
  <c r="Q8" i="3" s="1"/>
  <c r="Q9" i="3" a="1"/>
  <c r="Q9" i="3" s="1"/>
  <c r="Q10" i="3" a="1"/>
  <c r="Q10" i="3" s="1"/>
  <c r="Q11" i="3" a="1"/>
  <c r="Q11" i="3" s="1"/>
  <c r="Q12" i="3" a="1"/>
  <c r="Q12" i="3" s="1"/>
  <c r="Q13" i="3" a="1"/>
  <c r="Q13" i="3" s="1"/>
  <c r="Q14" i="3" a="1"/>
  <c r="Q14" i="3" s="1"/>
  <c r="Q15" i="3" a="1"/>
  <c r="Q15" i="3" s="1"/>
  <c r="Q16" i="3" a="1"/>
  <c r="Q16" i="3" s="1"/>
  <c r="Q17" i="3" a="1"/>
  <c r="Q17" i="3" s="1"/>
  <c r="Q18" i="3" a="1"/>
  <c r="Q18" i="3" s="1"/>
  <c r="Q19" i="3" a="1"/>
  <c r="Q19" i="3" s="1"/>
  <c r="Q20" i="3" a="1"/>
  <c r="Q20" i="3" s="1"/>
  <c r="Q21" i="3" a="1"/>
  <c r="Q21" i="3" s="1"/>
  <c r="Q22" i="3" a="1"/>
  <c r="Q22" i="3" s="1"/>
  <c r="Q23" i="3" a="1"/>
  <c r="Q23" i="3" s="1"/>
  <c r="Q24" i="3" a="1"/>
  <c r="Q24" i="3" s="1"/>
  <c r="Q25" i="3" a="1"/>
  <c r="Q25" i="3" s="1"/>
  <c r="Q26" i="3" a="1"/>
  <c r="Q26" i="3" s="1"/>
  <c r="Q27" i="3" a="1"/>
  <c r="Q27" i="3" s="1"/>
  <c r="Q28" i="3" a="1"/>
  <c r="Q28" i="3" s="1"/>
  <c r="Q29" i="3" a="1"/>
  <c r="Q29" i="3" s="1"/>
  <c r="Q30" i="3" a="1"/>
  <c r="Q30" i="3" s="1"/>
  <c r="Q31" i="3" a="1"/>
  <c r="Q31" i="3" s="1"/>
  <c r="Q32" i="3" a="1"/>
  <c r="Q32" i="3" s="1"/>
  <c r="Q33" i="3" a="1"/>
  <c r="Q33" i="3" s="1"/>
  <c r="Q34" i="3" a="1"/>
  <c r="Q34" i="3" s="1"/>
  <c r="Q35" i="3" a="1"/>
  <c r="Q35" i="3" s="1"/>
  <c r="Q36" i="3" a="1"/>
  <c r="Q36" i="3" s="1"/>
  <c r="Q37" i="3" a="1"/>
  <c r="Q37" i="3" s="1"/>
  <c r="Q38" i="3" a="1"/>
  <c r="Q38" i="3" s="1"/>
  <c r="Q39" i="3" a="1"/>
  <c r="Q39" i="3" s="1"/>
  <c r="Q40" i="3" a="1"/>
  <c r="Q40" i="3" s="1"/>
  <c r="Q41" i="3" a="1"/>
  <c r="Q41" i="3" s="1"/>
  <c r="Q42" i="3" a="1"/>
  <c r="Q42" i="3" s="1"/>
  <c r="Q43" i="3" a="1"/>
  <c r="Q43" i="3" s="1"/>
  <c r="Q44" i="3" a="1"/>
  <c r="Q44" i="3" s="1"/>
  <c r="Q45" i="3" a="1"/>
  <c r="Q45" i="3" s="1"/>
  <c r="Q46" i="3" a="1"/>
  <c r="Q46" i="3" s="1"/>
  <c r="Q47" i="3" a="1"/>
  <c r="Q47" i="3" s="1"/>
  <c r="Q48" i="3" a="1"/>
  <c r="Q48" i="3" s="1"/>
  <c r="Q49" i="3" a="1"/>
  <c r="Q49" i="3" s="1"/>
  <c r="Q2" i="3" a="1"/>
  <c r="Q2" i="3" s="1"/>
  <c r="P3" i="3" a="1"/>
  <c r="P3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16" i="3" a="1"/>
  <c r="P16" i="3" s="1"/>
  <c r="P17" i="3" a="1"/>
  <c r="P17" i="3" s="1"/>
  <c r="P18" i="3" a="1"/>
  <c r="P18" i="3" s="1"/>
  <c r="P19" i="3" a="1"/>
  <c r="P19" i="3" s="1"/>
  <c r="P20" i="3" a="1"/>
  <c r="P20" i="3" s="1"/>
  <c r="P21" i="3" a="1"/>
  <c r="P21" i="3" s="1"/>
  <c r="P22" i="3" a="1"/>
  <c r="P22" i="3" s="1"/>
  <c r="P23" i="3" a="1"/>
  <c r="P23" i="3" s="1"/>
  <c r="P24" i="3" a="1"/>
  <c r="P24" i="3" s="1"/>
  <c r="P25" i="3" a="1"/>
  <c r="P25" i="3" s="1"/>
  <c r="P26" i="3" a="1"/>
  <c r="P26" i="3" s="1"/>
  <c r="P27" i="3" a="1"/>
  <c r="P27" i="3" s="1"/>
  <c r="P28" i="3" a="1"/>
  <c r="P28" i="3" s="1"/>
  <c r="P29" i="3" a="1"/>
  <c r="P29" i="3" s="1"/>
  <c r="P30" i="3" a="1"/>
  <c r="P30" i="3" s="1"/>
  <c r="P31" i="3" a="1"/>
  <c r="P31" i="3" s="1"/>
  <c r="P32" i="3" a="1"/>
  <c r="P32" i="3" s="1"/>
  <c r="P33" i="3" a="1"/>
  <c r="P33" i="3" s="1"/>
  <c r="P34" i="3" a="1"/>
  <c r="P34" i="3" s="1"/>
  <c r="P35" i="3" a="1"/>
  <c r="P35" i="3" s="1"/>
  <c r="P36" i="3" a="1"/>
  <c r="P36" i="3" s="1"/>
  <c r="P37" i="3" a="1"/>
  <c r="P37" i="3" s="1"/>
  <c r="P38" i="3" a="1"/>
  <c r="P38" i="3" s="1"/>
  <c r="P39" i="3" a="1"/>
  <c r="P39" i="3" s="1"/>
  <c r="P40" i="3" a="1"/>
  <c r="P40" i="3" s="1"/>
  <c r="P41" i="3" a="1"/>
  <c r="P41" i="3" s="1"/>
  <c r="P42" i="3" a="1"/>
  <c r="P42" i="3" s="1"/>
  <c r="P43" i="3" a="1"/>
  <c r="P43" i="3" s="1"/>
  <c r="P44" i="3" a="1"/>
  <c r="P44" i="3" s="1"/>
  <c r="P45" i="3" a="1"/>
  <c r="P45" i="3" s="1"/>
  <c r="P46" i="3" a="1"/>
  <c r="P46" i="3" s="1"/>
  <c r="P47" i="3" a="1"/>
  <c r="P47" i="3" s="1"/>
  <c r="P48" i="3" a="1"/>
  <c r="P48" i="3" s="1"/>
  <c r="P49" i="3" a="1"/>
  <c r="P49" i="3" s="1"/>
  <c r="P2" i="3" a="1"/>
  <c r="P2" i="3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S27" i="3" l="1" a="1"/>
  <c r="S27" i="3" s="1"/>
  <c r="S3" i="3" a="1"/>
  <c r="S3" i="3" s="1"/>
  <c r="S34" i="3" a="1"/>
  <c r="S34" i="3" s="1"/>
  <c r="S33" i="3" a="1"/>
  <c r="S33" i="3" s="1"/>
  <c r="S32" i="3" a="1"/>
  <c r="S32" i="3" s="1"/>
  <c r="S31" i="3" a="1"/>
  <c r="S31" i="3" s="1"/>
  <c r="S30" i="3" a="1"/>
  <c r="S30" i="3" s="1"/>
  <c r="S29" i="3" a="1"/>
  <c r="S29" i="3" s="1"/>
  <c r="S28" i="3" a="1"/>
  <c r="S28" i="3" s="1"/>
  <c r="S26" i="3" a="1"/>
  <c r="S26" i="3" s="1"/>
  <c r="S25" i="3" a="1"/>
  <c r="S25" i="3" s="1"/>
  <c r="S24" i="3" a="1"/>
  <c r="S24" i="3" s="1"/>
  <c r="S23" i="3" a="1"/>
  <c r="S23" i="3" s="1"/>
  <c r="S22" i="3" a="1"/>
  <c r="S22" i="3" s="1"/>
  <c r="S21" i="3" a="1"/>
  <c r="S21" i="3" s="1"/>
  <c r="S20" i="3" a="1"/>
  <c r="S20" i="3" s="1"/>
  <c r="S19" i="3" a="1"/>
  <c r="S19" i="3" s="1"/>
  <c r="S2" i="3" a="1"/>
  <c r="S2" i="3" s="1"/>
  <c r="S18" i="3" a="1"/>
  <c r="S18" i="3" s="1"/>
  <c r="S49" i="3" a="1"/>
  <c r="S49" i="3" s="1"/>
  <c r="S17" i="3" a="1"/>
  <c r="S17" i="3" s="1"/>
  <c r="S48" i="3" a="1"/>
  <c r="S48" i="3" s="1"/>
  <c r="S16" i="3" a="1"/>
  <c r="S16" i="3" s="1"/>
  <c r="S47" i="3" a="1"/>
  <c r="S47" i="3" s="1"/>
  <c r="S15" i="3" a="1"/>
  <c r="S15" i="3" s="1"/>
  <c r="S46" i="3" a="1"/>
  <c r="S46" i="3" s="1"/>
  <c r="S14" i="3" a="1"/>
  <c r="S14" i="3" s="1"/>
  <c r="S45" i="3" a="1"/>
  <c r="S45" i="3" s="1"/>
  <c r="S13" i="3" a="1"/>
  <c r="S13" i="3" s="1"/>
  <c r="S44" i="3" a="1"/>
  <c r="S44" i="3" s="1"/>
  <c r="S12" i="3" a="1"/>
  <c r="S12" i="3" s="1"/>
  <c r="S43" i="3" a="1"/>
  <c r="S43" i="3" s="1"/>
  <c r="S11" i="3" a="1"/>
  <c r="S11" i="3" s="1"/>
  <c r="S42" i="3" a="1"/>
  <c r="S42" i="3" s="1"/>
  <c r="S10" i="3" a="1"/>
  <c r="S10" i="3" s="1"/>
  <c r="S41" i="3" a="1"/>
  <c r="S41" i="3" s="1"/>
  <c r="S9" i="3" a="1"/>
  <c r="S9" i="3" s="1"/>
  <c r="S40" i="3" a="1"/>
  <c r="S40" i="3" s="1"/>
  <c r="S8" i="3" a="1"/>
  <c r="S8" i="3" s="1"/>
  <c r="S39" i="3" a="1"/>
  <c r="S39" i="3" s="1"/>
  <c r="S7" i="3" a="1"/>
  <c r="S7" i="3" s="1"/>
  <c r="S38" i="3" a="1"/>
  <c r="S38" i="3" s="1"/>
  <c r="S6" i="3" a="1"/>
  <c r="S6" i="3" s="1"/>
  <c r="S37" i="3" a="1"/>
  <c r="S37" i="3" s="1"/>
  <c r="S5" i="3" a="1"/>
  <c r="S5" i="3" s="1"/>
  <c r="S36" i="3" a="1"/>
  <c r="S36" i="3" s="1"/>
  <c r="S4" i="3" a="1"/>
  <c r="S4" i="3" s="1"/>
  <c r="S35" i="3" a="1"/>
  <c r="S35" i="3" s="1"/>
  <c r="J4" i="2"/>
  <c r="J3" i="2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U2" i="3" l="1" a="1"/>
  <c r="B16" i="5"/>
  <c r="A18" i="5" s="1"/>
  <c r="J5" i="2"/>
  <c r="H9" i="5" s="1"/>
  <c r="U2" i="3" l="1"/>
  <c r="AF2" i="3" s="1"/>
  <c r="AP21" i="3"/>
  <c r="AV20" i="3"/>
  <c r="AS14" i="3"/>
  <c r="AX11" i="3"/>
  <c r="AU5" i="3"/>
  <c r="AH47" i="3"/>
  <c r="AN40" i="3"/>
  <c r="AK34" i="3"/>
  <c r="AH28" i="3"/>
  <c r="AN21" i="3"/>
  <c r="AK15" i="3"/>
  <c r="AH9" i="3"/>
  <c r="AN8" i="3"/>
  <c r="AH5" i="3"/>
  <c r="AQ21" i="3"/>
  <c r="AW20" i="3"/>
  <c r="AT14" i="3"/>
  <c r="AQ8" i="3"/>
  <c r="AV5" i="3"/>
  <c r="AI47" i="3"/>
  <c r="AF41" i="3"/>
  <c r="AL34" i="3"/>
  <c r="AI28" i="3"/>
  <c r="AF22" i="3"/>
  <c r="AL15" i="3"/>
  <c r="AI9" i="3"/>
  <c r="AP20" i="3"/>
  <c r="AI5" i="3"/>
  <c r="AR21" i="3"/>
  <c r="AX20" i="3"/>
  <c r="AU14" i="3"/>
  <c r="AR8" i="3"/>
  <c r="AW5" i="3"/>
  <c r="AJ47" i="3"/>
  <c r="AG41" i="3"/>
  <c r="AM34" i="3"/>
  <c r="AJ28" i="3"/>
  <c r="AG22" i="3"/>
  <c r="AM15" i="3"/>
  <c r="AJ9" i="3"/>
  <c r="AP14" i="3"/>
  <c r="AJ5" i="3"/>
  <c r="AS21" i="3"/>
  <c r="AP15" i="3"/>
  <c r="AV14" i="3"/>
  <c r="AS8" i="3"/>
  <c r="AX5" i="3"/>
  <c r="AK47" i="3"/>
  <c r="AH41" i="3"/>
  <c r="AN34" i="3"/>
  <c r="AK28" i="3"/>
  <c r="AH22" i="3"/>
  <c r="AN15" i="3"/>
  <c r="AK9" i="3"/>
  <c r="AP8" i="3"/>
  <c r="AK5" i="3"/>
  <c r="AT21" i="3"/>
  <c r="AQ15" i="3"/>
  <c r="AW14" i="3"/>
  <c r="AT8" i="3"/>
  <c r="AQ2" i="3"/>
  <c r="AL47" i="3"/>
  <c r="AI41" i="3"/>
  <c r="AF35" i="3"/>
  <c r="AL28" i="3"/>
  <c r="AI22" i="3"/>
  <c r="AF16" i="3"/>
  <c r="AL9" i="3"/>
  <c r="AP2" i="3"/>
  <c r="AL5" i="3"/>
  <c r="AU21" i="3"/>
  <c r="AR15" i="3"/>
  <c r="AX14" i="3"/>
  <c r="AU8" i="3"/>
  <c r="AR2" i="3"/>
  <c r="AM47" i="3"/>
  <c r="AJ41" i="3"/>
  <c r="AG35" i="3"/>
  <c r="AM28" i="3"/>
  <c r="AJ22" i="3"/>
  <c r="AG16" i="3"/>
  <c r="AM9" i="3"/>
  <c r="AF44" i="3"/>
  <c r="AM5" i="3"/>
  <c r="AV21" i="3"/>
  <c r="AS15" i="3"/>
  <c r="AP9" i="3"/>
  <c r="AV8" i="3"/>
  <c r="AS2" i="3"/>
  <c r="AN47" i="3"/>
  <c r="AK41" i="3"/>
  <c r="AH35" i="3"/>
  <c r="AN28" i="3"/>
  <c r="AK22" i="3"/>
  <c r="AH16" i="3"/>
  <c r="AN9" i="3"/>
  <c r="AF38" i="3"/>
  <c r="AN5" i="3"/>
  <c r="AW21" i="3"/>
  <c r="AT15" i="3"/>
  <c r="AQ9" i="3"/>
  <c r="AW8" i="3"/>
  <c r="AT2" i="3"/>
  <c r="AG44" i="3"/>
  <c r="AL41" i="3"/>
  <c r="AI35" i="3"/>
  <c r="AF29" i="3"/>
  <c r="AL22" i="3"/>
  <c r="AI16" i="3"/>
  <c r="AF10" i="3"/>
  <c r="AF32" i="3"/>
  <c r="AG2" i="3"/>
  <c r="AX21" i="3"/>
  <c r="AU15" i="3"/>
  <c r="AR9" i="3"/>
  <c r="AX8" i="3"/>
  <c r="AU2" i="3"/>
  <c r="AH44" i="3"/>
  <c r="AM41" i="3"/>
  <c r="AJ35" i="3"/>
  <c r="AG29" i="3"/>
  <c r="AM22" i="3"/>
  <c r="AJ16" i="3"/>
  <c r="AG10" i="3"/>
  <c r="AF26" i="3"/>
  <c r="AH2" i="3"/>
  <c r="AP22" i="3"/>
  <c r="AV15" i="3"/>
  <c r="AS9" i="3"/>
  <c r="AP3" i="3"/>
  <c r="AV2" i="3"/>
  <c r="AI44" i="3"/>
  <c r="AN41" i="3"/>
  <c r="AK35" i="3"/>
  <c r="AH29" i="3"/>
  <c r="AN22" i="3"/>
  <c r="AK16" i="3"/>
  <c r="AH10" i="3"/>
  <c r="AF20" i="3"/>
  <c r="AI2" i="3"/>
  <c r="AQ22" i="3"/>
  <c r="AW15" i="3"/>
  <c r="AT9" i="3"/>
  <c r="AQ3" i="3"/>
  <c r="AW2" i="3"/>
  <c r="AJ44" i="3"/>
  <c r="AG38" i="3"/>
  <c r="AL35" i="3"/>
  <c r="AI29" i="3"/>
  <c r="AF23" i="3"/>
  <c r="AL16" i="3"/>
  <c r="AI10" i="3"/>
  <c r="AF14" i="3"/>
  <c r="AJ2" i="3"/>
  <c r="AR22" i="3"/>
  <c r="AX15" i="3"/>
  <c r="AU9" i="3"/>
  <c r="AR3" i="3"/>
  <c r="AX2" i="3"/>
  <c r="AK44" i="3"/>
  <c r="AH38" i="3"/>
  <c r="AM35" i="3"/>
  <c r="AJ29" i="3"/>
  <c r="AG23" i="3"/>
  <c r="AM16" i="3"/>
  <c r="AJ10" i="3"/>
  <c r="AF8" i="3"/>
  <c r="AK2" i="3"/>
  <c r="AS22" i="3"/>
  <c r="AP16" i="3"/>
  <c r="AV9" i="3"/>
  <c r="AS3" i="3"/>
  <c r="AF45" i="3"/>
  <c r="AL44" i="3"/>
  <c r="AI38" i="3"/>
  <c r="AN35" i="3"/>
  <c r="AK29" i="3"/>
  <c r="AH23" i="3"/>
  <c r="AN16" i="3"/>
  <c r="AK10" i="3"/>
  <c r="AF3" i="3"/>
  <c r="AL2" i="3"/>
  <c r="AT22" i="3"/>
  <c r="AQ16" i="3"/>
  <c r="AW9" i="3"/>
  <c r="AT3" i="3"/>
  <c r="AG45" i="3"/>
  <c r="AM44" i="3"/>
  <c r="AJ38" i="3"/>
  <c r="AG32" i="3"/>
  <c r="AL29" i="3"/>
  <c r="AI23" i="3"/>
  <c r="AF17" i="3"/>
  <c r="AL10" i="3"/>
  <c r="AG3" i="3"/>
  <c r="AM2" i="3"/>
  <c r="AU22" i="3"/>
  <c r="AR16" i="3"/>
  <c r="AX9" i="3"/>
  <c r="AU3" i="3"/>
  <c r="AH45" i="3"/>
  <c r="AN44" i="3"/>
  <c r="AK38" i="3"/>
  <c r="AH32" i="3"/>
  <c r="AM29" i="3"/>
  <c r="AJ23" i="3"/>
  <c r="AG17" i="3"/>
  <c r="AM10" i="3"/>
  <c r="AH3" i="3"/>
  <c r="AN2" i="3"/>
  <c r="AV22" i="3"/>
  <c r="AS16" i="3"/>
  <c r="AP10" i="3"/>
  <c r="AV3" i="3"/>
  <c r="AI45" i="3"/>
  <c r="AF39" i="3"/>
  <c r="AL38" i="3"/>
  <c r="AI32" i="3"/>
  <c r="AN29" i="3"/>
  <c r="AK23" i="3"/>
  <c r="AH17" i="3"/>
  <c r="AN10" i="3"/>
  <c r="AI3" i="3"/>
  <c r="AW22" i="3"/>
  <c r="AT16" i="3"/>
  <c r="AQ10" i="3"/>
  <c r="AW3" i="3"/>
  <c r="AJ45" i="3"/>
  <c r="AG39" i="3"/>
  <c r="AM38" i="3"/>
  <c r="AJ32" i="3"/>
  <c r="AG26" i="3"/>
  <c r="AL23" i="3"/>
  <c r="AI17" i="3"/>
  <c r="AF11" i="3"/>
  <c r="AJ3" i="3"/>
  <c r="AX22" i="3"/>
  <c r="AU16" i="3"/>
  <c r="AR10" i="3"/>
  <c r="AX3" i="3"/>
  <c r="AK45" i="3"/>
  <c r="AH39" i="3"/>
  <c r="AN38" i="3"/>
  <c r="AK32" i="3"/>
  <c r="AH26" i="3"/>
  <c r="AM23" i="3"/>
  <c r="AJ17" i="3"/>
  <c r="AG11" i="3"/>
  <c r="AK3" i="3"/>
  <c r="AP23" i="3"/>
  <c r="AV16" i="3"/>
  <c r="AS10" i="3"/>
  <c r="AP4" i="3"/>
  <c r="AL45" i="3"/>
  <c r="AI39" i="3"/>
  <c r="AF33" i="3"/>
  <c r="AL32" i="3"/>
  <c r="AI26" i="3"/>
  <c r="AN23" i="3"/>
  <c r="AK17" i="3"/>
  <c r="AH11" i="3"/>
  <c r="AL3" i="3"/>
  <c r="AQ23" i="3"/>
  <c r="AW16" i="3"/>
  <c r="AT10" i="3"/>
  <c r="AQ4" i="3"/>
  <c r="AM45" i="3"/>
  <c r="AJ39" i="3"/>
  <c r="AG33" i="3"/>
  <c r="AM32" i="3"/>
  <c r="AJ26" i="3"/>
  <c r="AG20" i="3"/>
  <c r="AL17" i="3"/>
  <c r="AI11" i="3"/>
  <c r="AM3" i="3"/>
  <c r="AR23" i="3"/>
  <c r="AX16" i="3"/>
  <c r="AU10" i="3"/>
  <c r="AR4" i="3"/>
  <c r="AN45" i="3"/>
  <c r="AK39" i="3"/>
  <c r="AH33" i="3"/>
  <c r="AN32" i="3"/>
  <c r="AK26" i="3"/>
  <c r="AH20" i="3"/>
  <c r="AM17" i="3"/>
  <c r="AJ11" i="3"/>
  <c r="AN3" i="3"/>
  <c r="AS23" i="3"/>
  <c r="AP17" i="3"/>
  <c r="AV10" i="3"/>
  <c r="AS4" i="3"/>
  <c r="AF46" i="3"/>
  <c r="AL39" i="3"/>
  <c r="AI33" i="3"/>
  <c r="AF27" i="3"/>
  <c r="AL26" i="3"/>
  <c r="AI20" i="3"/>
  <c r="AN17" i="3"/>
  <c r="AK11" i="3"/>
  <c r="AF4" i="3"/>
  <c r="AT23" i="3"/>
  <c r="AQ17" i="3"/>
  <c r="AW10" i="3"/>
  <c r="AT4" i="3"/>
  <c r="AG46" i="3"/>
  <c r="AM39" i="3"/>
  <c r="AJ33" i="3"/>
  <c r="AG27" i="3"/>
  <c r="AM26" i="3"/>
  <c r="AJ20" i="3"/>
  <c r="AG14" i="3"/>
  <c r="AL11" i="3"/>
  <c r="AG4" i="3"/>
  <c r="AU23" i="3"/>
  <c r="AR17" i="3"/>
  <c r="AX10" i="3"/>
  <c r="AU4" i="3"/>
  <c r="AH46" i="3"/>
  <c r="AN39" i="3"/>
  <c r="AK33" i="3"/>
  <c r="AH27" i="3"/>
  <c r="AN26" i="3"/>
  <c r="AK20" i="3"/>
  <c r="AH14" i="3"/>
  <c r="AM11" i="3"/>
  <c r="AH4" i="3"/>
  <c r="AV23" i="3"/>
  <c r="AS17" i="3"/>
  <c r="AP11" i="3"/>
  <c r="AV4" i="3"/>
  <c r="AI46" i="3"/>
  <c r="AF40" i="3"/>
  <c r="AL33" i="3"/>
  <c r="AI27" i="3"/>
  <c r="AF21" i="3"/>
  <c r="AL20" i="3"/>
  <c r="AI14" i="3"/>
  <c r="AN11" i="3"/>
  <c r="AI4" i="3"/>
  <c r="AW23" i="3"/>
  <c r="AT17" i="3"/>
  <c r="AQ11" i="3"/>
  <c r="AW4" i="3"/>
  <c r="AJ46" i="3"/>
  <c r="AG40" i="3"/>
  <c r="AM33" i="3"/>
  <c r="AJ27" i="3"/>
  <c r="AG21" i="3"/>
  <c r="AM20" i="3"/>
  <c r="AJ14" i="3"/>
  <c r="AG8" i="3"/>
  <c r="AJ4" i="3"/>
  <c r="AX23" i="3"/>
  <c r="AU17" i="3"/>
  <c r="AR11" i="3"/>
  <c r="AX4" i="3"/>
  <c r="AK46" i="3"/>
  <c r="AH40" i="3"/>
  <c r="AN33" i="3"/>
  <c r="AK27" i="3"/>
  <c r="AH21" i="3"/>
  <c r="AN20" i="3"/>
  <c r="AK14" i="3"/>
  <c r="AH8" i="3"/>
  <c r="AK4" i="3"/>
  <c r="AQ20" i="3"/>
  <c r="AV17" i="3"/>
  <c r="AS11" i="3"/>
  <c r="AP5" i="3"/>
  <c r="AL46" i="3"/>
  <c r="AI40" i="3"/>
  <c r="AF34" i="3"/>
  <c r="AL27" i="3"/>
  <c r="AI21" i="3"/>
  <c r="AF15" i="3"/>
  <c r="AL14" i="3"/>
  <c r="AI8" i="3"/>
  <c r="AL4" i="3"/>
  <c r="AR20" i="3"/>
  <c r="AW17" i="3"/>
  <c r="AT11" i="3"/>
  <c r="AQ5" i="3"/>
  <c r="AM46" i="3"/>
  <c r="AJ40" i="3"/>
  <c r="AG34" i="3"/>
  <c r="AM27" i="3"/>
  <c r="AJ21" i="3"/>
  <c r="AG15" i="3"/>
  <c r="AM14" i="3"/>
  <c r="AJ8" i="3"/>
  <c r="AM4" i="3"/>
  <c r="AS20" i="3"/>
  <c r="AX17" i="3"/>
  <c r="AU11" i="3"/>
  <c r="AR5" i="3"/>
  <c r="AN46" i="3"/>
  <c r="AK40" i="3"/>
  <c r="AH34" i="3"/>
  <c r="AN27" i="3"/>
  <c r="AK21" i="3"/>
  <c r="AH15" i="3"/>
  <c r="AN14" i="3"/>
  <c r="AK8" i="3"/>
  <c r="AN4" i="3"/>
  <c r="AT20" i="3"/>
  <c r="AQ14" i="3"/>
  <c r="AV11" i="3"/>
  <c r="AS5" i="3"/>
  <c r="AF47" i="3"/>
  <c r="AL40" i="3"/>
  <c r="AI34" i="3"/>
  <c r="AF28" i="3"/>
  <c r="AL21" i="3"/>
  <c r="AI15" i="3"/>
  <c r="AF9" i="3"/>
  <c r="AL8" i="3"/>
  <c r="AF5" i="3"/>
  <c r="AU20" i="3"/>
  <c r="AR14" i="3"/>
  <c r="AW11" i="3"/>
  <c r="AT5" i="3"/>
  <c r="AG47" i="3"/>
  <c r="AM40" i="3"/>
  <c r="AJ34" i="3"/>
  <c r="AG28" i="3"/>
  <c r="AM21" i="3"/>
  <c r="AJ15" i="3"/>
  <c r="AG9" i="3"/>
  <c r="AM8" i="3"/>
  <c r="AG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<sst xmlns="http://schemas.openxmlformats.org/spreadsheetml/2006/main" count="607" uniqueCount="119">
  <si>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</si>
  <si>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</si>
  <si>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</si>
  <si>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</si>
  <si>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</si>
  <si>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</si>
  <si>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</si>
  <si>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</si>
  <si>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</si>
  <si>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</si>
  <si>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</si>
  <si>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</si>
  <si>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</si>
  <si>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</si>
  <si>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</si>
  <si>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</si>
  <si>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</si>
  <si>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</si>
  <si>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</si>
  <si>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</si>
  <si>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</si>
  <si>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</si>
  <si>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</si>
  <si>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</si>
  <si>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</si>
  <si>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</si>
  <si>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</si>
  <si>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</si>
  <si>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</si>
  <si>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</si>
  <si>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</si>
  <si>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</si>
  <si>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</si>
  <si>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</si>
  <si>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</si>
  <si>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</si>
  <si>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</si>
  <si>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</si>
  <si>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</si>
  <si>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</si>
  <si>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</si>
  <si>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</si>
  <si>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</si>
  <si>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</si>
  <si>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</si>
  <si>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</si>
  <si>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</si>
  <si>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</si>
  <si>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</si>
  <si>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</si>
  <si>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</si>
  <si>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</si>
  <si>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</si>
  <si>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</si>
  <si>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</si>
  <si>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</si>
  <si>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</si>
  <si>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</si>
  <si>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</si>
  <si>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</si>
  <si>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</si>
  <si>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</si>
  <si>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</si>
  <si>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</si>
  <si>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</si>
  <si>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</si>
  <si>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</si>
  <si>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</si>
  <si>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</si>
  <si>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</si>
  <si>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</si>
  <si>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</si>
  <si>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</si>
  <si>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</si>
  <si>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</si>
  <si>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</si>
  <si>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</si>
  <si>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</si>
  <si>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</si>
  <si>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</si>
  <si>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</si>
  <si>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</si>
  <si>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</si>
  <si>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</si>
  <si>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</si>
  <si>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</si>
  <si>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</si>
  <si>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</si>
  <si>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</si>
  <si>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</si>
  <si>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</si>
  <si>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</si>
  <si>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</si>
  <si>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</si>
  <si>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</si>
  <si>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</si>
  <si>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</si>
  <si>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</si>
  <si>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</si>
  <si>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</si>
  <si>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</si>
  <si>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</si>
  <si>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</si>
  <si>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</si>
  <si>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</si>
  <si>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</si>
  <si>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</si>
  <si>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</si>
  <si>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</si>
  <si>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</si>
  <si>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</si>
  <si>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</si>
  <si>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</si>
  <si>
    <t>Win</t>
  </si>
  <si>
    <t>Pts</t>
  </si>
  <si>
    <t>GD</t>
  </si>
  <si>
    <t>Group Rank</t>
  </si>
  <si>
    <t>GF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</si>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</sst>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4" sqref="A4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abSelected="1" zoomScaleNormal="100" workbookViewId="0">
      <pane ySplit="1" topLeftCell="A2" activePane="bottomLeft" state="frozen"/>
      <selection pane="bottomLeft" activeCell="J11" sqref="J11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7.1796875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0" x14ac:dyDescent="0.35">
      <c r="A2" s="3">
        <v>1</v>
      </c>
      <c r="B2" s="3" t="s">
        <v>26</v>
      </c>
      <c r="C2" s="2" t="s">
        <v>27</v>
      </c>
      <c r="D2" s="2" t="s">
        <v>28</v>
      </c>
      <c r="E2" s="10">
        <v>0</v>
      </c>
      <c r="F2" s="10">
        <v>0</v>
      </c>
      <c r="G2" s="3" t="str">
        <f>IF(AND(E2&lt;&gt;"",F2&lt;&gt;""),IF(E2&gt;F2,C2,IF(E2&lt;F2,D2,"Draw")),"")</f>
        <v>Draw</v>
      </c>
      <c r="I2" s="2" t="s">
        <v>21</v>
      </c>
      <c r="J2" s="3" cm="1">
        <f t="array" ref="J2">SUMPRODUCT((G2:G73=C2:C73)*1)</f>
        <v>52</v>
      </c>
    </row>
    <row r="3" spans="1:10" x14ac:dyDescent="0.35">
      <c r="A3" s="3">
        <v>2</v>
      </c>
      <c r="B3" s="3" t="s">
        <v>26</v>
      </c>
      <c r="C3" s="2" t="s">
        <v>29</v>
      </c>
      <c r="D3" s="2" t="s">
        <v>30</v>
      </c>
      <c r="E3" s="10">
        <v>0</v>
      </c>
      <c r="F3" s="10">
        <v>1</v>
      </c>
      <c r="G3" s="3" t="str">
        <f t="shared" ref="G3:G66" si="0">IF(AND(E3&lt;&gt;"",F3&lt;&gt;""),IF(E3&gt;F3,C3,IF(E3&lt;F3,D3,"Draw")),"")</f>
        <v>Czechia</v>
      </c>
      <c r="I3" s="2" t="s">
        <v>22</v>
      </c>
      <c r="J3" s="3" cm="1">
        <f t="array" ref="J3">SUMPRODUCT((G2:G73=D2:D73)*1)</f>
        <v>7</v>
      </c>
    </row>
    <row r="4" spans="1:10" x14ac:dyDescent="0.35">
      <c r="A4" s="3">
        <v>3</v>
      </c>
      <c r="B4" s="3" t="s">
        <v>26</v>
      </c>
      <c r="C4" s="2" t="s">
        <v>27</v>
      </c>
      <c r="D4" s="2" t="s">
        <v>29</v>
      </c>
      <c r="E4" s="10">
        <v>2</v>
      </c>
      <c r="F4" s="10">
        <v>0</v>
      </c>
      <c r="G4" s="3" t="str">
        <f t="shared" si="0"/>
        <v>Mexico</v>
      </c>
      <c r="I4" s="2" t="s">
        <v>31</v>
      </c>
      <c r="J4" s="3">
        <f>COUNTIF(G2:G73,"Draw")</f>
        <v>13</v>
      </c>
    </row>
    <row r="5" spans="1:10" x14ac:dyDescent="0.35">
      <c r="A5" s="3">
        <v>4</v>
      </c>
      <c r="B5" s="3" t="s">
        <v>26</v>
      </c>
      <c r="C5" s="2" t="s">
        <v>28</v>
      </c>
      <c r="D5" s="2" t="s">
        <v>30</v>
      </c>
      <c r="E5" s="10">
        <v>0</v>
      </c>
      <c r="F5" s="10">
        <v>0</v>
      </c>
      <c r="G5" s="3" t="str">
        <f t="shared" si="0"/>
        <v>Draw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26</v>
      </c>
      <c r="C6" s="2" t="s">
        <v>27</v>
      </c>
      <c r="D6" s="2" t="s">
        <v>30</v>
      </c>
      <c r="E6" s="10">
        <v>2</v>
      </c>
      <c r="F6" s="10">
        <v>0</v>
      </c>
      <c r="G6" s="3" t="str">
        <f t="shared" si="0"/>
        <v>Mexico</v>
      </c>
      <c r="I6" s="11" t="s">
        <v>32</v>
      </c>
    </row>
    <row r="7" spans="1:10" x14ac:dyDescent="0.35">
      <c r="A7" s="3">
        <v>6</v>
      </c>
      <c r="B7" s="3" t="s">
        <v>26</v>
      </c>
      <c r="C7" s="2" t="s">
        <v>28</v>
      </c>
      <c r="D7" s="2" t="s">
        <v>29</v>
      </c>
      <c r="E7" s="10">
        <v>1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33</v>
      </c>
      <c r="C8" s="2" t="s">
        <v>34</v>
      </c>
      <c r="D8" s="2" t="s">
        <v>35</v>
      </c>
      <c r="E8" s="10">
        <v>0</v>
      </c>
      <c r="F8" s="10">
        <v>0</v>
      </c>
      <c r="G8" s="3" t="str">
        <f t="shared" si="0"/>
        <v>Draw</v>
      </c>
    </row>
    <row r="9" spans="1:10" x14ac:dyDescent="0.35">
      <c r="A9" s="3">
        <v>8</v>
      </c>
      <c r="B9" s="3" t="s">
        <v>33</v>
      </c>
      <c r="C9" s="2" t="s">
        <v>36</v>
      </c>
      <c r="D9" s="2" t="s">
        <v>37</v>
      </c>
      <c r="E9" s="10">
        <v>0</v>
      </c>
      <c r="F9" s="10">
        <v>1</v>
      </c>
      <c r="G9" s="3" t="str">
        <f t="shared" si="0"/>
        <v>Bosnia-Herzegovina</v>
      </c>
    </row>
    <row r="10" spans="1:10" x14ac:dyDescent="0.35">
      <c r="A10" s="3">
        <v>9</v>
      </c>
      <c r="B10" s="3" t="s">
        <v>33</v>
      </c>
      <c r="C10" s="2" t="s">
        <v>34</v>
      </c>
      <c r="D10" s="2" t="s">
        <v>36</v>
      </c>
      <c r="E10" s="10">
        <v>1</v>
      </c>
      <c r="F10" s="10">
        <v>0</v>
      </c>
      <c r="G10" s="3" t="str">
        <f t="shared" si="0"/>
        <v>Canada</v>
      </c>
    </row>
    <row r="11" spans="1:10" x14ac:dyDescent="0.35">
      <c r="A11" s="3">
        <v>10</v>
      </c>
      <c r="B11" s="3" t="s">
        <v>33</v>
      </c>
      <c r="C11" s="2" t="s">
        <v>35</v>
      </c>
      <c r="D11" s="2" t="s">
        <v>37</v>
      </c>
      <c r="E11" s="10">
        <v>1</v>
      </c>
      <c r="F11" s="10">
        <v>0</v>
      </c>
      <c r="G11" s="3" t="str">
        <f t="shared" si="0"/>
        <v>Switzerland</v>
      </c>
    </row>
    <row r="12" spans="1:10" x14ac:dyDescent="0.3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0</v>
      </c>
      <c r="G12" s="3" t="str">
        <f t="shared" si="0"/>
        <v>Canada</v>
      </c>
    </row>
    <row r="13" spans="1:10" x14ac:dyDescent="0.35">
      <c r="A13" s="3">
        <v>12</v>
      </c>
      <c r="B13" s="3" t="s">
        <v>33</v>
      </c>
      <c r="C13" s="2" t="s">
        <v>35</v>
      </c>
      <c r="D13" s="2" t="s">
        <v>36</v>
      </c>
      <c r="E13" s="10">
        <v>2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38</v>
      </c>
      <c r="C14" s="2" t="s">
        <v>39</v>
      </c>
      <c r="D14" s="2" t="s">
        <v>40</v>
      </c>
      <c r="E14" s="10">
        <v>1</v>
      </c>
      <c r="F14" s="10">
        <v>0</v>
      </c>
      <c r="G14" s="3" t="str">
        <f t="shared" si="0"/>
        <v>Brazil</v>
      </c>
    </row>
    <row r="15" spans="1:10" x14ac:dyDescent="0.35">
      <c r="A15" s="3">
        <v>14</v>
      </c>
      <c r="B15" s="3" t="s">
        <v>38</v>
      </c>
      <c r="C15" s="2" t="s">
        <v>41</v>
      </c>
      <c r="D15" s="2" t="s">
        <v>42</v>
      </c>
      <c r="E15" s="10">
        <v>1</v>
      </c>
      <c r="F15" s="10">
        <v>0</v>
      </c>
      <c r="G15" s="3" t="str">
        <f t="shared" si="0"/>
        <v>Scotland</v>
      </c>
    </row>
    <row r="16" spans="1:10" x14ac:dyDescent="0.35">
      <c r="A16" s="3">
        <v>15</v>
      </c>
      <c r="B16" s="3" t="s">
        <v>38</v>
      </c>
      <c r="C16" s="2" t="s">
        <v>39</v>
      </c>
      <c r="D16" s="2" t="s">
        <v>41</v>
      </c>
      <c r="E16" s="10">
        <v>1</v>
      </c>
      <c r="F16" s="10">
        <v>0</v>
      </c>
      <c r="G16" s="3" t="str">
        <f t="shared" si="0"/>
        <v>Brazil</v>
      </c>
    </row>
    <row r="17" spans="1:7" x14ac:dyDescent="0.35">
      <c r="A17" s="3">
        <v>16</v>
      </c>
      <c r="B17" s="3" t="s">
        <v>38</v>
      </c>
      <c r="C17" s="2" t="s">
        <v>40</v>
      </c>
      <c r="D17" s="2" t="s">
        <v>42</v>
      </c>
      <c r="E17" s="10">
        <v>2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38</v>
      </c>
      <c r="C18" s="2" t="s">
        <v>39</v>
      </c>
      <c r="D18" s="2" t="s">
        <v>42</v>
      </c>
      <c r="E18" s="10">
        <v>3</v>
      </c>
      <c r="F18" s="10">
        <v>0</v>
      </c>
      <c r="G18" s="3" t="str">
        <f t="shared" si="0"/>
        <v>Brazil</v>
      </c>
    </row>
    <row r="19" spans="1:7" x14ac:dyDescent="0.35">
      <c r="A19" s="3">
        <v>18</v>
      </c>
      <c r="B19" s="3" t="s">
        <v>38</v>
      </c>
      <c r="C19" s="2" t="s">
        <v>40</v>
      </c>
      <c r="D19" s="2" t="s">
        <v>41</v>
      </c>
      <c r="E19" s="10">
        <v>1</v>
      </c>
      <c r="F19" s="10">
        <v>1</v>
      </c>
      <c r="G19" s="3" t="str">
        <f t="shared" si="0"/>
        <v>Draw</v>
      </c>
    </row>
    <row r="20" spans="1:7" x14ac:dyDescent="0.35">
      <c r="A20" s="3">
        <v>19</v>
      </c>
      <c r="B20" s="3" t="s">
        <v>43</v>
      </c>
      <c r="C20" s="2" t="s">
        <v>44</v>
      </c>
      <c r="D20" s="2" t="s">
        <v>45</v>
      </c>
      <c r="E20" s="10">
        <v>1</v>
      </c>
      <c r="F20" s="10">
        <v>0</v>
      </c>
      <c r="G20" s="3" t="str">
        <f t="shared" si="0"/>
        <v>USA</v>
      </c>
    </row>
    <row r="21" spans="1:7" x14ac:dyDescent="0.35">
      <c r="A21" s="3">
        <v>20</v>
      </c>
      <c r="B21" s="3" t="s">
        <v>43</v>
      </c>
      <c r="C21" s="2" t="s">
        <v>46</v>
      </c>
      <c r="D21" s="2" t="s">
        <v>47</v>
      </c>
      <c r="E21" s="10">
        <v>0</v>
      </c>
      <c r="F21" s="10">
        <v>1</v>
      </c>
      <c r="G21" s="3" t="str">
        <f t="shared" si="0"/>
        <v>Turkiye</v>
      </c>
    </row>
    <row r="22" spans="1:7" x14ac:dyDescent="0.35">
      <c r="A22" s="3">
        <v>21</v>
      </c>
      <c r="B22" s="3" t="s">
        <v>43</v>
      </c>
      <c r="C22" s="2" t="s">
        <v>44</v>
      </c>
      <c r="D22" s="2" t="s">
        <v>46</v>
      </c>
      <c r="E22" s="10">
        <v>1</v>
      </c>
      <c r="F22" s="10">
        <v>1</v>
      </c>
      <c r="G22" s="3" t="str">
        <f t="shared" si="0"/>
        <v>Draw</v>
      </c>
    </row>
    <row r="23" spans="1:7" x14ac:dyDescent="0.35">
      <c r="A23" s="3">
        <v>22</v>
      </c>
      <c r="B23" s="3" t="s">
        <v>43</v>
      </c>
      <c r="C23" s="2" t="s">
        <v>45</v>
      </c>
      <c r="D23" s="2" t="s">
        <v>47</v>
      </c>
      <c r="E23" s="10">
        <v>0</v>
      </c>
      <c r="F23" s="10">
        <v>1</v>
      </c>
      <c r="G23" s="3" t="str">
        <f t="shared" si="0"/>
        <v>Turkiye</v>
      </c>
    </row>
    <row r="24" spans="1:7" x14ac:dyDescent="0.35">
      <c r="A24" s="3">
        <v>23</v>
      </c>
      <c r="B24" s="3" t="s">
        <v>43</v>
      </c>
      <c r="C24" s="2" t="s">
        <v>44</v>
      </c>
      <c r="D24" s="2" t="s">
        <v>47</v>
      </c>
      <c r="E24" s="10">
        <v>0</v>
      </c>
      <c r="F24" s="10">
        <v>0</v>
      </c>
      <c r="G24" s="3" t="str">
        <f t="shared" si="0"/>
        <v>Draw</v>
      </c>
    </row>
    <row r="25" spans="1:7" x14ac:dyDescent="0.35">
      <c r="A25" s="3">
        <v>24</v>
      </c>
      <c r="B25" s="3" t="s">
        <v>43</v>
      </c>
      <c r="C25" s="2" t="s">
        <v>45</v>
      </c>
      <c r="D25" s="2" t="s">
        <v>46</v>
      </c>
      <c r="E25" s="10">
        <v>1</v>
      </c>
      <c r="F25" s="10">
        <v>1</v>
      </c>
      <c r="G25" s="3" t="str">
        <f t="shared" si="0"/>
        <v>Draw</v>
      </c>
    </row>
    <row r="26" spans="1:7" x14ac:dyDescent="0.35">
      <c r="A26" s="3">
        <v>25</v>
      </c>
      <c r="B26" s="3" t="s">
        <v>48</v>
      </c>
      <c r="C26" s="2" t="s">
        <v>49</v>
      </c>
      <c r="D26" s="2" t="s">
        <v>50</v>
      </c>
      <c r="E26" s="10">
        <v>1</v>
      </c>
      <c r="F26" s="10">
        <v>0</v>
      </c>
      <c r="G26" s="3" t="str">
        <f t="shared" si="0"/>
        <v>Germany</v>
      </c>
    </row>
    <row r="27" spans="1:7" x14ac:dyDescent="0.35">
      <c r="A27" s="3">
        <v>26</v>
      </c>
      <c r="B27" s="3" t="s">
        <v>48</v>
      </c>
      <c r="C27" s="2" t="s">
        <v>51</v>
      </c>
      <c r="D27" s="2" t="s">
        <v>52</v>
      </c>
      <c r="E27" s="10">
        <v>2</v>
      </c>
      <c r="F27" s="10">
        <v>0</v>
      </c>
      <c r="G27" s="3" t="str">
        <f t="shared" si="0"/>
        <v>Ivory Coast</v>
      </c>
    </row>
    <row r="28" spans="1:7" x14ac:dyDescent="0.35">
      <c r="A28" s="3">
        <v>27</v>
      </c>
      <c r="B28" s="3" t="s">
        <v>48</v>
      </c>
      <c r="C28" s="2" t="s">
        <v>49</v>
      </c>
      <c r="D28" s="2" t="s">
        <v>51</v>
      </c>
      <c r="E28" s="10">
        <v>2</v>
      </c>
      <c r="F28" s="10">
        <v>0</v>
      </c>
      <c r="G28" s="3" t="str">
        <f t="shared" si="0"/>
        <v>Germany</v>
      </c>
    </row>
    <row r="29" spans="1:7" x14ac:dyDescent="0.35">
      <c r="A29" s="3">
        <v>28</v>
      </c>
      <c r="B29" s="3" t="s">
        <v>48</v>
      </c>
      <c r="C29" s="2" t="s">
        <v>50</v>
      </c>
      <c r="D29" s="2" t="s">
        <v>52</v>
      </c>
      <c r="E29" s="10">
        <v>2</v>
      </c>
      <c r="F29" s="10">
        <v>0</v>
      </c>
      <c r="G29" s="3" t="str">
        <f t="shared" si="0"/>
        <v>Ecuador</v>
      </c>
    </row>
    <row r="30" spans="1:7" x14ac:dyDescent="0.35">
      <c r="A30" s="3">
        <v>29</v>
      </c>
      <c r="B30" s="3" t="s">
        <v>48</v>
      </c>
      <c r="C30" s="2" t="s">
        <v>49</v>
      </c>
      <c r="D30" s="2" t="s">
        <v>52</v>
      </c>
      <c r="E30" s="10">
        <v>2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48</v>
      </c>
      <c r="C31" s="2" t="s">
        <v>50</v>
      </c>
      <c r="D31" s="2" t="s">
        <v>51</v>
      </c>
      <c r="E31" s="10">
        <v>1</v>
      </c>
      <c r="F31" s="10">
        <v>1</v>
      </c>
      <c r="G31" s="3" t="str">
        <f t="shared" si="0"/>
        <v>Draw</v>
      </c>
    </row>
    <row r="32" spans="1:7" x14ac:dyDescent="0.35">
      <c r="A32" s="3">
        <v>31</v>
      </c>
      <c r="B32" s="3" t="s">
        <v>53</v>
      </c>
      <c r="C32" s="2" t="s">
        <v>54</v>
      </c>
      <c r="D32" s="2" t="s">
        <v>55</v>
      </c>
      <c r="E32" s="10">
        <v>1</v>
      </c>
      <c r="F32" s="10">
        <v>0</v>
      </c>
      <c r="G32" s="3" t="str">
        <f t="shared" si="0"/>
        <v>Netherlands</v>
      </c>
    </row>
    <row r="33" spans="1:7" x14ac:dyDescent="0.35">
      <c r="A33" s="3">
        <v>32</v>
      </c>
      <c r="B33" s="3" t="s">
        <v>53</v>
      </c>
      <c r="C33" s="2" t="s">
        <v>56</v>
      </c>
      <c r="D33" s="2" t="s">
        <v>57</v>
      </c>
      <c r="E33" s="10">
        <v>0</v>
      </c>
      <c r="F33" s="10">
        <v>1</v>
      </c>
      <c r="G33" s="3" t="str">
        <f t="shared" si="0"/>
        <v>Sweden</v>
      </c>
    </row>
    <row r="34" spans="1:7" x14ac:dyDescent="0.35">
      <c r="A34" s="3">
        <v>33</v>
      </c>
      <c r="B34" s="3" t="s">
        <v>53</v>
      </c>
      <c r="C34" s="2" t="s">
        <v>54</v>
      </c>
      <c r="D34" s="2" t="s">
        <v>56</v>
      </c>
      <c r="E34" s="10">
        <v>2</v>
      </c>
      <c r="F34" s="10">
        <v>0</v>
      </c>
      <c r="G34" s="3" t="str">
        <f t="shared" si="0"/>
        <v>Netherlands</v>
      </c>
    </row>
    <row r="35" spans="1:7" x14ac:dyDescent="0.35">
      <c r="A35" s="3">
        <v>34</v>
      </c>
      <c r="B35" s="3" t="s">
        <v>53</v>
      </c>
      <c r="C35" s="2" t="s">
        <v>55</v>
      </c>
      <c r="D35" s="2" t="s">
        <v>57</v>
      </c>
      <c r="E35" s="10">
        <v>1</v>
      </c>
      <c r="F35" s="10">
        <v>1</v>
      </c>
      <c r="G35" s="3" t="str">
        <f t="shared" si="0"/>
        <v>Draw</v>
      </c>
    </row>
    <row r="36" spans="1:7" x14ac:dyDescent="0.35">
      <c r="A36" s="3">
        <v>35</v>
      </c>
      <c r="B36" s="3" t="s">
        <v>53</v>
      </c>
      <c r="C36" s="2" t="s">
        <v>54</v>
      </c>
      <c r="D36" s="2" t="s">
        <v>57</v>
      </c>
      <c r="E36" s="10">
        <v>1</v>
      </c>
      <c r="F36" s="10">
        <v>0</v>
      </c>
      <c r="G36" s="3" t="str">
        <f t="shared" si="0"/>
        <v>Netherlands</v>
      </c>
    </row>
    <row r="37" spans="1:7" x14ac:dyDescent="0.35">
      <c r="A37" s="3">
        <v>36</v>
      </c>
      <c r="B37" s="3" t="s">
        <v>53</v>
      </c>
      <c r="C37" s="2" t="s">
        <v>55</v>
      </c>
      <c r="D37" s="2" t="s">
        <v>56</v>
      </c>
      <c r="E37" s="10">
        <v>2</v>
      </c>
      <c r="F37" s="10">
        <v>0</v>
      </c>
      <c r="G37" s="3" t="str">
        <f t="shared" si="0"/>
        <v>Japan</v>
      </c>
    </row>
    <row r="38" spans="1:7" x14ac:dyDescent="0.35">
      <c r="A38" s="3">
        <v>37</v>
      </c>
      <c r="B38" s="3" t="s">
        <v>58</v>
      </c>
      <c r="C38" s="2" t="s">
        <v>59</v>
      </c>
      <c r="D38" s="2" t="s">
        <v>60</v>
      </c>
      <c r="E38" s="10">
        <v>2</v>
      </c>
      <c r="F38" s="10">
        <v>0</v>
      </c>
      <c r="G38" s="3" t="str">
        <f t="shared" si="0"/>
        <v>Belgium</v>
      </c>
    </row>
    <row r="39" spans="1:7" x14ac:dyDescent="0.35">
      <c r="A39" s="3">
        <v>38</v>
      </c>
      <c r="B39" s="3" t="s">
        <v>58</v>
      </c>
      <c r="C39" s="2" t="s">
        <v>61</v>
      </c>
      <c r="D39" s="2" t="s">
        <v>62</v>
      </c>
      <c r="E39" s="10">
        <v>1</v>
      </c>
      <c r="F39" s="10">
        <v>0</v>
      </c>
      <c r="G39" s="3" t="str">
        <f t="shared" si="0"/>
        <v>Egypt</v>
      </c>
    </row>
    <row r="40" spans="1:7" x14ac:dyDescent="0.35">
      <c r="A40" s="3">
        <v>39</v>
      </c>
      <c r="B40" s="3" t="s">
        <v>58</v>
      </c>
      <c r="C40" s="2" t="s">
        <v>59</v>
      </c>
      <c r="D40" s="2" t="s">
        <v>61</v>
      </c>
      <c r="E40" s="10">
        <v>2</v>
      </c>
      <c r="F40" s="10">
        <v>0</v>
      </c>
      <c r="G40" s="3" t="str">
        <f t="shared" si="0"/>
        <v>Belgium</v>
      </c>
    </row>
    <row r="41" spans="1:7" x14ac:dyDescent="0.35">
      <c r="A41" s="3">
        <v>40</v>
      </c>
      <c r="B41" s="3" t="s">
        <v>58</v>
      </c>
      <c r="C41" s="2" t="s">
        <v>60</v>
      </c>
      <c r="D41" s="2" t="s">
        <v>62</v>
      </c>
      <c r="E41" s="10">
        <v>1</v>
      </c>
      <c r="F41" s="10">
        <v>0</v>
      </c>
      <c r="G41" s="3" t="str">
        <f t="shared" si="0"/>
        <v>Iran</v>
      </c>
    </row>
    <row r="42" spans="1:7" x14ac:dyDescent="0.35">
      <c r="A42" s="3">
        <v>41</v>
      </c>
      <c r="B42" s="3" t="s">
        <v>58</v>
      </c>
      <c r="C42" s="2" t="s">
        <v>59</v>
      </c>
      <c r="D42" s="2" t="s">
        <v>62</v>
      </c>
      <c r="E42" s="10">
        <v>2</v>
      </c>
      <c r="F42" s="10">
        <v>0</v>
      </c>
      <c r="G42" s="3" t="str">
        <f t="shared" si="0"/>
        <v>Belgium</v>
      </c>
    </row>
    <row r="43" spans="1:7" x14ac:dyDescent="0.35">
      <c r="A43" s="3">
        <v>42</v>
      </c>
      <c r="B43" s="3" t="s">
        <v>58</v>
      </c>
      <c r="C43" s="2" t="s">
        <v>60</v>
      </c>
      <c r="D43" s="2" t="s">
        <v>61</v>
      </c>
      <c r="E43" s="10">
        <v>0</v>
      </c>
      <c r="F43" s="10">
        <v>1</v>
      </c>
      <c r="G43" s="3" t="str">
        <f t="shared" si="0"/>
        <v>Egypt</v>
      </c>
    </row>
    <row r="44" spans="1:7" x14ac:dyDescent="0.35">
      <c r="A44" s="3">
        <v>43</v>
      </c>
      <c r="B44" s="3" t="s">
        <v>63</v>
      </c>
      <c r="C44" s="2" t="s">
        <v>64</v>
      </c>
      <c r="D44" s="2" t="s">
        <v>65</v>
      </c>
      <c r="E44" s="10">
        <v>1</v>
      </c>
      <c r="F44" s="10">
        <v>0</v>
      </c>
      <c r="G44" s="3" t="str">
        <f t="shared" si="0"/>
        <v>Spain</v>
      </c>
    </row>
    <row r="45" spans="1:7" x14ac:dyDescent="0.35">
      <c r="A45" s="3">
        <v>44</v>
      </c>
      <c r="B45" s="3" t="s">
        <v>63</v>
      </c>
      <c r="C45" s="2" t="s">
        <v>66</v>
      </c>
      <c r="D45" s="2" t="s">
        <v>67</v>
      </c>
      <c r="E45" s="10">
        <v>0</v>
      </c>
      <c r="F45" s="10">
        <v>0</v>
      </c>
      <c r="G45" s="3" t="str">
        <f t="shared" si="0"/>
        <v>Draw</v>
      </c>
    </row>
    <row r="46" spans="1:7" x14ac:dyDescent="0.35">
      <c r="A46" s="3">
        <v>45</v>
      </c>
      <c r="B46" s="3" t="s">
        <v>63</v>
      </c>
      <c r="C46" s="2" t="s">
        <v>64</v>
      </c>
      <c r="D46" s="2" t="s">
        <v>66</v>
      </c>
      <c r="E46" s="10">
        <v>3</v>
      </c>
      <c r="F46" s="10">
        <v>0</v>
      </c>
      <c r="G46" s="3" t="str">
        <f t="shared" si="0"/>
        <v>Spain</v>
      </c>
    </row>
    <row r="47" spans="1:7" x14ac:dyDescent="0.35">
      <c r="A47" s="3">
        <v>46</v>
      </c>
      <c r="B47" s="3" t="s">
        <v>63</v>
      </c>
      <c r="C47" s="2" t="s">
        <v>65</v>
      </c>
      <c r="D47" s="2" t="s">
        <v>67</v>
      </c>
      <c r="E47" s="10">
        <v>2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63</v>
      </c>
      <c r="C48" s="2" t="s">
        <v>64</v>
      </c>
      <c r="D48" s="2" t="s">
        <v>67</v>
      </c>
      <c r="E48" s="10">
        <v>2</v>
      </c>
      <c r="F48" s="10">
        <v>0</v>
      </c>
      <c r="G48" s="3" t="str">
        <f t="shared" si="0"/>
        <v>Spain</v>
      </c>
    </row>
    <row r="49" spans="1:7" x14ac:dyDescent="0.35">
      <c r="A49" s="3">
        <v>48</v>
      </c>
      <c r="B49" s="3" t="s">
        <v>63</v>
      </c>
      <c r="C49" s="2" t="s">
        <v>65</v>
      </c>
      <c r="D49" s="2" t="s">
        <v>66</v>
      </c>
      <c r="E49" s="10">
        <v>2</v>
      </c>
      <c r="F49" s="10">
        <v>0</v>
      </c>
      <c r="G49" s="3" t="str">
        <f t="shared" si="0"/>
        <v>Uruguay</v>
      </c>
    </row>
    <row r="50" spans="1:7" x14ac:dyDescent="0.35">
      <c r="A50" s="3">
        <v>49</v>
      </c>
      <c r="B50" s="3" t="s">
        <v>68</v>
      </c>
      <c r="C50" s="2" t="s">
        <v>69</v>
      </c>
      <c r="D50" s="2" t="s">
        <v>70</v>
      </c>
      <c r="E50" s="10">
        <v>2</v>
      </c>
      <c r="F50" s="10">
        <v>0</v>
      </c>
      <c r="G50" s="3" t="str">
        <f t="shared" si="0"/>
        <v>France</v>
      </c>
    </row>
    <row r="51" spans="1:7" x14ac:dyDescent="0.35">
      <c r="A51" s="3">
        <v>50</v>
      </c>
      <c r="B51" s="3" t="s">
        <v>68</v>
      </c>
      <c r="C51" s="2" t="s">
        <v>71</v>
      </c>
      <c r="D51" s="2" t="s">
        <v>72</v>
      </c>
      <c r="E51" s="10">
        <v>2</v>
      </c>
      <c r="F51" s="10">
        <v>0</v>
      </c>
      <c r="G51" s="3" t="str">
        <f t="shared" si="0"/>
        <v>Norway</v>
      </c>
    </row>
    <row r="52" spans="1:7" x14ac:dyDescent="0.35">
      <c r="A52" s="3">
        <v>51</v>
      </c>
      <c r="B52" s="3" t="s">
        <v>68</v>
      </c>
      <c r="C52" s="2" t="s">
        <v>69</v>
      </c>
      <c r="D52" s="2" t="s">
        <v>71</v>
      </c>
      <c r="E52" s="10">
        <v>2</v>
      </c>
      <c r="F52" s="10">
        <v>0</v>
      </c>
      <c r="G52" s="3" t="str">
        <f t="shared" si="0"/>
        <v>France</v>
      </c>
    </row>
    <row r="53" spans="1:7" x14ac:dyDescent="0.35">
      <c r="A53" s="3">
        <v>52</v>
      </c>
      <c r="B53" s="3" t="s">
        <v>68</v>
      </c>
      <c r="C53" s="2" t="s">
        <v>70</v>
      </c>
      <c r="D53" s="2" t="s">
        <v>72</v>
      </c>
      <c r="E53" s="10">
        <v>1</v>
      </c>
      <c r="F53" s="10">
        <v>0</v>
      </c>
      <c r="G53" s="3" t="str">
        <f t="shared" si="0"/>
        <v>Senegal</v>
      </c>
    </row>
    <row r="54" spans="1:7" x14ac:dyDescent="0.35">
      <c r="A54" s="3">
        <v>53</v>
      </c>
      <c r="B54" s="3" t="s">
        <v>68</v>
      </c>
      <c r="C54" s="2" t="s">
        <v>69</v>
      </c>
      <c r="D54" s="2" t="s">
        <v>72</v>
      </c>
      <c r="E54" s="10">
        <v>2</v>
      </c>
      <c r="F54" s="10">
        <v>0</v>
      </c>
      <c r="G54" s="3" t="str">
        <f t="shared" si="0"/>
        <v>France</v>
      </c>
    </row>
    <row r="55" spans="1:7" x14ac:dyDescent="0.35">
      <c r="A55" s="3">
        <v>54</v>
      </c>
      <c r="B55" s="3" t="s">
        <v>68</v>
      </c>
      <c r="C55" s="2" t="s">
        <v>70</v>
      </c>
      <c r="D55" s="2" t="s">
        <v>71</v>
      </c>
      <c r="E55" s="10">
        <v>1</v>
      </c>
      <c r="F55" s="10">
        <v>1</v>
      </c>
      <c r="G55" s="3" t="str">
        <f t="shared" si="0"/>
        <v>Draw</v>
      </c>
    </row>
    <row r="56" spans="1:7" x14ac:dyDescent="0.35">
      <c r="A56" s="3">
        <v>55</v>
      </c>
      <c r="B56" s="3" t="s">
        <v>73</v>
      </c>
      <c r="C56" s="2" t="s">
        <v>74</v>
      </c>
      <c r="D56" s="2" t="s">
        <v>75</v>
      </c>
      <c r="E56" s="10">
        <v>1</v>
      </c>
      <c r="F56" s="10">
        <v>0</v>
      </c>
      <c r="G56" s="3" t="str">
        <f t="shared" si="0"/>
        <v>Argentina</v>
      </c>
    </row>
    <row r="57" spans="1:7" x14ac:dyDescent="0.35">
      <c r="A57" s="3">
        <v>56</v>
      </c>
      <c r="B57" s="3" t="s">
        <v>73</v>
      </c>
      <c r="C57" s="2" t="s">
        <v>76</v>
      </c>
      <c r="D57" s="2" t="s">
        <v>77</v>
      </c>
      <c r="E57" s="10">
        <v>2</v>
      </c>
      <c r="F57" s="10">
        <v>0</v>
      </c>
      <c r="G57" s="3" t="str">
        <f t="shared" si="0"/>
        <v>Algeria</v>
      </c>
    </row>
    <row r="58" spans="1:7" x14ac:dyDescent="0.35">
      <c r="A58" s="3">
        <v>57</v>
      </c>
      <c r="B58" s="3" t="s">
        <v>73</v>
      </c>
      <c r="C58" s="2" t="s">
        <v>74</v>
      </c>
      <c r="D58" s="2" t="s">
        <v>76</v>
      </c>
      <c r="E58" s="10">
        <v>2</v>
      </c>
      <c r="F58" s="10">
        <v>0</v>
      </c>
      <c r="G58" s="3" t="str">
        <f t="shared" si="0"/>
        <v>Argentina</v>
      </c>
    </row>
    <row r="59" spans="1:7" x14ac:dyDescent="0.35">
      <c r="A59" s="3">
        <v>58</v>
      </c>
      <c r="B59" s="3" t="s">
        <v>73</v>
      </c>
      <c r="C59" s="2" t="s">
        <v>75</v>
      </c>
      <c r="D59" s="2" t="s">
        <v>77</v>
      </c>
      <c r="E59" s="10">
        <v>1</v>
      </c>
      <c r="F59" s="10">
        <v>0</v>
      </c>
      <c r="G59" s="3" t="str">
        <f t="shared" si="0"/>
        <v>Austria</v>
      </c>
    </row>
    <row r="60" spans="1:7" x14ac:dyDescent="0.35">
      <c r="A60" s="3">
        <v>59</v>
      </c>
      <c r="B60" s="3" t="s">
        <v>73</v>
      </c>
      <c r="C60" s="2" t="s">
        <v>74</v>
      </c>
      <c r="D60" s="2" t="s">
        <v>77</v>
      </c>
      <c r="E60" s="10">
        <v>3</v>
      </c>
      <c r="F60" s="10">
        <v>0</v>
      </c>
      <c r="G60" s="3" t="str">
        <f t="shared" si="0"/>
        <v>Argentina</v>
      </c>
    </row>
    <row r="61" spans="1:7" x14ac:dyDescent="0.35">
      <c r="A61" s="3">
        <v>60</v>
      </c>
      <c r="B61" s="3" t="s">
        <v>73</v>
      </c>
      <c r="C61" s="2" t="s">
        <v>75</v>
      </c>
      <c r="D61" s="2" t="s">
        <v>76</v>
      </c>
      <c r="E61" s="10">
        <v>1</v>
      </c>
      <c r="F61" s="10">
        <v>0</v>
      </c>
      <c r="G61" s="3" t="str">
        <f t="shared" si="0"/>
        <v>Austria</v>
      </c>
    </row>
    <row r="62" spans="1:7" x14ac:dyDescent="0.35">
      <c r="A62" s="3">
        <v>61</v>
      </c>
      <c r="B62" s="3" t="s">
        <v>78</v>
      </c>
      <c r="C62" s="2" t="s">
        <v>79</v>
      </c>
      <c r="D62" s="2" t="s">
        <v>80</v>
      </c>
      <c r="E62" s="10">
        <v>2</v>
      </c>
      <c r="F62" s="10">
        <v>0</v>
      </c>
      <c r="G62" s="3" t="str">
        <f t="shared" si="0"/>
        <v>Portugal</v>
      </c>
    </row>
    <row r="63" spans="1:7" x14ac:dyDescent="0.35">
      <c r="A63" s="3">
        <v>62</v>
      </c>
      <c r="B63" s="3" t="s">
        <v>78</v>
      </c>
      <c r="C63" s="2" t="s">
        <v>81</v>
      </c>
      <c r="D63" s="2" t="s">
        <v>82</v>
      </c>
      <c r="E63" s="10">
        <v>0</v>
      </c>
      <c r="F63" s="10">
        <v>0</v>
      </c>
      <c r="G63" s="3" t="str">
        <f t="shared" si="0"/>
        <v>Draw</v>
      </c>
    </row>
    <row r="64" spans="1:7" x14ac:dyDescent="0.35">
      <c r="A64" s="3">
        <v>63</v>
      </c>
      <c r="B64" s="3" t="s">
        <v>78</v>
      </c>
      <c r="C64" s="2" t="s">
        <v>79</v>
      </c>
      <c r="D64" s="2" t="s">
        <v>81</v>
      </c>
      <c r="E64" s="10">
        <v>4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78</v>
      </c>
      <c r="C65" s="2" t="s">
        <v>80</v>
      </c>
      <c r="D65" s="2" t="s">
        <v>82</v>
      </c>
      <c r="E65" s="10">
        <v>2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78</v>
      </c>
      <c r="C66" s="2" t="s">
        <v>79</v>
      </c>
      <c r="D66" s="2" t="s">
        <v>82</v>
      </c>
      <c r="E66" s="10">
        <v>2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78</v>
      </c>
      <c r="C67" s="2" t="s">
        <v>80</v>
      </c>
      <c r="D67" s="2" t="s">
        <v>81</v>
      </c>
      <c r="E67" s="10">
        <v>2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83</v>
      </c>
      <c r="C68" s="2" t="s">
        <v>84</v>
      </c>
      <c r="D68" s="2" t="s">
        <v>85</v>
      </c>
      <c r="E68" s="10">
        <v>2</v>
      </c>
      <c r="F68" s="10">
        <v>1</v>
      </c>
      <c r="G68" s="3" t="str">
        <f t="shared" si="1"/>
        <v>England</v>
      </c>
    </row>
    <row r="69" spans="1:7" x14ac:dyDescent="0.35">
      <c r="A69" s="3">
        <v>68</v>
      </c>
      <c r="B69" s="3" t="s">
        <v>83</v>
      </c>
      <c r="C69" s="2" t="s">
        <v>86</v>
      </c>
      <c r="D69" s="2" t="s">
        <v>87</v>
      </c>
      <c r="E69" s="10">
        <v>0</v>
      </c>
      <c r="F69" s="10">
        <v>1</v>
      </c>
      <c r="G69" s="3" t="str">
        <f t="shared" si="1"/>
        <v>Ghana</v>
      </c>
    </row>
    <row r="70" spans="1:7" x14ac:dyDescent="0.35">
      <c r="A70" s="3">
        <v>69</v>
      </c>
      <c r="B70" s="3" t="s">
        <v>83</v>
      </c>
      <c r="C70" s="2" t="s">
        <v>84</v>
      </c>
      <c r="D70" s="2" t="s">
        <v>86</v>
      </c>
      <c r="E70" s="10">
        <v>2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83</v>
      </c>
      <c r="C71" s="2" t="s">
        <v>85</v>
      </c>
      <c r="D71" s="2" t="s">
        <v>87</v>
      </c>
      <c r="E71" s="10">
        <v>1</v>
      </c>
      <c r="F71" s="10">
        <v>1</v>
      </c>
      <c r="G71" s="3" t="str">
        <f t="shared" si="1"/>
        <v>Draw</v>
      </c>
    </row>
    <row r="72" spans="1:7" x14ac:dyDescent="0.35">
      <c r="A72" s="3">
        <v>71</v>
      </c>
      <c r="B72" s="3" t="s">
        <v>83</v>
      </c>
      <c r="C72" s="2" t="s">
        <v>84</v>
      </c>
      <c r="D72" s="2" t="s">
        <v>87</v>
      </c>
      <c r="E72" s="10">
        <v>1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83</v>
      </c>
      <c r="C73" s="2" t="s">
        <v>85</v>
      </c>
      <c r="D73" s="2" t="s">
        <v>86</v>
      </c>
      <c r="E73" s="10">
        <v>2</v>
      </c>
      <c r="F73" s="10">
        <v>0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9"/>
  <sheetViews>
    <sheetView zoomScale="110" zoomScaleNormal="110" workbookViewId="0">
      <pane ySplit="1" topLeftCell="A2" activePane="bottomLeft" state="frozen"/>
      <selection pane="bottomLeft" activeCell="G42" sqref="G42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  <col min="11" max="11" width="18" hidden="1" customWidth="1"/>
    <col min="12" max="12" width="8" hidden="1" customWidth="1"/>
    <col min="13" max="18" width="0" hidden="1" customWidth="1"/>
    <col min="19" max="20" width="11.1796875" hidden="1" customWidth="1"/>
    <col min="21" max="21" width="13.7265625" hidden="1" customWidth="1"/>
    <col min="22" max="29" width="11.1796875" hidden="1" customWidth="1"/>
    <col min="30" max="30" width="0" hidden="1" customWidth="1"/>
    <col min="32" max="32" width="17.08984375" bestFit="1" customWidth="1"/>
    <col min="40" max="40" width="11.1796875" bestFit="1" customWidth="1"/>
    <col min="42" max="42" width="10.26953125" customWidth="1"/>
    <col min="50" max="50" width="11.1796875" bestFit="1" customWidth="1"/>
  </cols>
  <sheetData>
    <row r="1" spans="1:50" x14ac:dyDescent="0.3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K1" s="1" t="s">
        <v>88</v>
      </c>
      <c r="L1" s="1" t="s">
        <v>89</v>
      </c>
      <c r="M1" s="18" t="s">
        <v>113</v>
      </c>
      <c r="N1" s="18" t="s">
        <v>43</v>
      </c>
      <c r="O1" s="18" t="s">
        <v>83</v>
      </c>
      <c r="P1" s="18" t="s">
        <v>114</v>
      </c>
      <c r="Q1" s="18" t="s">
        <v>115</v>
      </c>
      <c r="R1" s="18" t="s">
        <v>117</v>
      </c>
      <c r="S1" s="18" t="s">
        <v>116</v>
      </c>
      <c r="T1" s="19"/>
      <c r="U1" s="19" t="s">
        <v>118</v>
      </c>
      <c r="V1" s="1" t="s">
        <v>89</v>
      </c>
      <c r="W1" s="18" t="s">
        <v>113</v>
      </c>
      <c r="X1" s="18" t="s">
        <v>43</v>
      </c>
      <c r="Y1" s="18" t="s">
        <v>83</v>
      </c>
      <c r="Z1" s="18" t="s">
        <v>114</v>
      </c>
      <c r="AA1" s="18" t="s">
        <v>115</v>
      </c>
      <c r="AB1" s="18" t="s">
        <v>117</v>
      </c>
      <c r="AC1" s="18" t="s">
        <v>116</v>
      </c>
      <c r="AF1" s="1" t="s">
        <v>88</v>
      </c>
      <c r="AG1" s="1" t="s">
        <v>89</v>
      </c>
      <c r="AH1" s="18" t="s">
        <v>113</v>
      </c>
      <c r="AI1" s="18" t="s">
        <v>43</v>
      </c>
      <c r="AJ1" s="18" t="s">
        <v>83</v>
      </c>
      <c r="AK1" s="18" t="s">
        <v>114</v>
      </c>
      <c r="AL1" s="18" t="s">
        <v>115</v>
      </c>
      <c r="AM1" s="18" t="s">
        <v>117</v>
      </c>
      <c r="AN1" s="18" t="s">
        <v>116</v>
      </c>
      <c r="AP1" s="1" t="s">
        <v>88</v>
      </c>
      <c r="AQ1" s="1" t="s">
        <v>89</v>
      </c>
      <c r="AR1" s="18" t="s">
        <v>113</v>
      </c>
      <c r="AS1" s="18" t="s">
        <v>43</v>
      </c>
      <c r="AT1" s="18" t="s">
        <v>83</v>
      </c>
      <c r="AU1" s="18" t="s">
        <v>114</v>
      </c>
      <c r="AV1" s="18" t="s">
        <v>115</v>
      </c>
      <c r="AW1" s="18" t="s">
        <v>117</v>
      </c>
      <c r="AX1" s="18" t="s">
        <v>116</v>
      </c>
    </row>
    <row r="2" spans="1:50" x14ac:dyDescent="0.35">
      <c r="A2" s="2" t="s">
        <v>27</v>
      </c>
      <c r="B2" s="3" t="str">
        <f t="shared" ref="B2:B49" si="0">C2&amp;D2</f>
        <v>A1</v>
      </c>
      <c r="C2" s="3" t="s">
        <v>26</v>
      </c>
      <c r="D2" s="10">
        <v>1</v>
      </c>
      <c r="E2" s="10">
        <v>1</v>
      </c>
      <c r="F2" s="10"/>
      <c r="G2" s="10"/>
      <c r="H2" s="10"/>
      <c r="I2" s="10"/>
      <c r="K2" s="2" t="s">
        <v>27</v>
      </c>
      <c r="L2" s="3" t="s">
        <v>26</v>
      </c>
      <c r="M2" cm="1">
        <f t="array" ref="M2">SUMPRODUCT(
  (('Group Stage'!$C$2:$C$73=A2)*('Group Stage'!$E$2:$E$73&gt;'Group Stage'!$F$2:$F$73))+
  (('Group Stage'!$D$2:$D$73=A2)*('Group Stage'!$F$2:$F$73&gt;'Group Stage'!$E$2:$E$73))
)</f>
        <v>2</v>
      </c>
      <c r="N2" cm="1">
        <f t="array" ref="N2">SUMPRODUCT(
  (('Group Stage'!$C$2:$C$73=A2)*('Group Stage'!$E$2:$E$73='Group Stage'!$F$2:$F$73))+
  (('Group Stage'!$D$2:$D$73=A2)*('Group Stage'!$F$2:$F$73='Group Stage'!$E$2:$E$73))
)</f>
        <v>1</v>
      </c>
      <c r="O2" cm="1">
        <f t="array" ref="O2">SUMPRODUCT(
  (('Group Stage'!$C$2:$C$73=A2)*('Group Stage'!$E$2:$E$73&lt;'Group Stage'!$F$2:$F$73))+
  (('Group Stage'!$D$2:$D$73=A2)*('Group Stage'!$F$2:$F$73&lt;'Group Stage'!$E$2:$E$73))
)</f>
        <v>0</v>
      </c>
      <c r="P2" cm="1">
        <f t="array" ref="P2">SUMPRODUCT(
  (('Group Stage'!$C$2:$C$73=A2)*('Group Stage'!$E$2:$E$73&gt;'Group Stage'!$F$2:$F$73))*3+
  (('Group Stage'!$D$2:$D$73=A2)*('Group Stage'!$F$2:$F$73&gt;'Group Stage'!$E$2:$E$73))*3+
  (('Group Stage'!$C$2:$C$73=A2)*('Group Stage'!$E$2:$E$73='Group Stage'!$F$2:$F$73))*1+
  (('Group Stage'!$D$2:$D$73=A2)*('Group Stage'!$F$2:$F$73='Group Stage'!$E$2:$E$73))*1
)</f>
        <v>7</v>
      </c>
      <c r="Q2" cm="1">
        <f t="array" ref="Q2">SUMPRODUCT(
  ('Group Stage'!$C$2:$C$73=A2)*('Group Stage'!$E$2:$E$73-'Group Stage'!$F$2:$F$73)+
  ('Group Stage'!$D$2:$D$73=A2)*('Group Stage'!$F$2:$F$73-'Group Stage'!$E$2:$E$73)
)</f>
        <v>4</v>
      </c>
      <c r="R2" cm="1">
        <f t="array" ref="R2">SUMPRODUCT(
  ('Group Stage'!$C$2:$C$73=A2)*'Group Stage'!$E$2:$E$73+
  ('Group Stage'!$D$2:$D$73=A2)*'Group Stage'!$F$2:$F$73
)</f>
        <v>4</v>
      </c>
      <c r="S2" cm="1">
        <f t="array" ref="S2">SUMPRODUCT(
  (('Elimination Rounds'!$L$2:$L$49=L2)*
  (('Elimination Rounds'!$P$2:$P$49&gt;P2)+
  ('Elimination Rounds'!$P$2:$P$49=P2)*('Elimination Rounds'!$Q$2:$Q$49&gt;Q2)+
  ('Elimination Rounds'!$P$2:$P$49=P2)*('Elimination Rounds'!$Q$2:$Q$49=Q2)*('Elimination Rounds'!$R$2:$R$49&gt;R2)))
)+1</f>
        <v>1</v>
      </c>
      <c r="U2" t="str" cm="1">
        <f t="array" ref="U2:AC49">_xlfn._xlws.SORT('Elimination Rounds'!$K$2:$S$49,{2,9},1)</f>
        <v>Mexico</v>
      </c>
      <c r="V2" t="str">
        <v>A</v>
      </c>
      <c r="W2">
        <v>2</v>
      </c>
      <c r="X2">
        <v>1</v>
      </c>
      <c r="Y2">
        <v>0</v>
      </c>
      <c r="Z2">
        <v>7</v>
      </c>
      <c r="AA2">
        <v>4</v>
      </c>
      <c r="AB2">
        <v>4</v>
      </c>
      <c r="AC2">
        <v>1</v>
      </c>
      <c r="AF2" s="2" t="str">
        <f>U2</f>
        <v>Mexico</v>
      </c>
      <c r="AG2" s="3" t="str">
        <f t="shared" ref="AG2:AN2" si="1">V2</f>
        <v>A</v>
      </c>
      <c r="AH2" s="3">
        <f t="shared" si="1"/>
        <v>2</v>
      </c>
      <c r="AI2" s="3">
        <f t="shared" si="1"/>
        <v>1</v>
      </c>
      <c r="AJ2" s="3">
        <f t="shared" si="1"/>
        <v>0</v>
      </c>
      <c r="AK2" s="3">
        <f t="shared" si="1"/>
        <v>7</v>
      </c>
      <c r="AL2" s="3">
        <f t="shared" si="1"/>
        <v>4</v>
      </c>
      <c r="AM2" s="3">
        <f t="shared" si="1"/>
        <v>4</v>
      </c>
      <c r="AN2" s="3">
        <f t="shared" si="1"/>
        <v>1</v>
      </c>
      <c r="AP2" s="2" t="str">
        <f>U34</f>
        <v>France</v>
      </c>
      <c r="AQ2" s="3" t="str">
        <f t="shared" ref="AQ2:AX2" si="2">V34</f>
        <v>I</v>
      </c>
      <c r="AR2" s="3">
        <f t="shared" si="2"/>
        <v>3</v>
      </c>
      <c r="AS2" s="3">
        <f t="shared" si="2"/>
        <v>0</v>
      </c>
      <c r="AT2" s="3">
        <f t="shared" si="2"/>
        <v>0</v>
      </c>
      <c r="AU2" s="3">
        <f t="shared" si="2"/>
        <v>9</v>
      </c>
      <c r="AV2" s="3">
        <f t="shared" si="2"/>
        <v>6</v>
      </c>
      <c r="AW2" s="3">
        <f t="shared" si="2"/>
        <v>6</v>
      </c>
      <c r="AX2" s="3">
        <f t="shared" si="2"/>
        <v>1</v>
      </c>
    </row>
    <row r="3" spans="1:50" x14ac:dyDescent="0.35">
      <c r="A3" s="2" t="s">
        <v>28</v>
      </c>
      <c r="B3" s="3" t="str">
        <f t="shared" si="0"/>
        <v>A2</v>
      </c>
      <c r="C3" s="3" t="s">
        <v>26</v>
      </c>
      <c r="D3" s="10">
        <v>2</v>
      </c>
      <c r="E3" s="10"/>
      <c r="F3" s="10"/>
      <c r="G3" s="10"/>
      <c r="H3" s="10"/>
      <c r="I3" s="10"/>
      <c r="K3" s="2" t="s">
        <v>28</v>
      </c>
      <c r="L3" s="3" t="s">
        <v>26</v>
      </c>
      <c r="M3" cm="1">
        <f t="array" ref="M3">SUMPRODUCT(
  (('Group Stage'!$C$2:$C$73=A3)*('Group Stage'!$E$2:$E$73&gt;'Group Stage'!$F$2:$F$73))+
  (('Group Stage'!$D$2:$D$73=A3)*('Group Stage'!$F$2:$F$73&gt;'Group Stage'!$E$2:$E$73))
)</f>
        <v>1</v>
      </c>
      <c r="N3" cm="1">
        <f t="array" ref="N3">SUMPRODUCT(
  (('Group Stage'!$C$2:$C$73=A3)*('Group Stage'!$E$2:$E$73='Group Stage'!$F$2:$F$73))+
  (('Group Stage'!$D$2:$D$73=A3)*('Group Stage'!$F$2:$F$73='Group Stage'!$E$2:$E$73))
)</f>
        <v>2</v>
      </c>
      <c r="O3" cm="1">
        <f t="array" ref="O3">SUMPRODUCT(
  (('Group Stage'!$C$2:$C$73=A3)*('Group Stage'!$E$2:$E$73&lt;'Group Stage'!$F$2:$F$73))+
  (('Group Stage'!$D$2:$D$73=A3)*('Group Stage'!$F$2:$F$73&lt;'Group Stage'!$E$2:$E$73))
)</f>
        <v>0</v>
      </c>
      <c r="P3" cm="1">
        <f t="array" ref="P3">SUMPRODUCT(
  (('Group Stage'!$C$2:$C$73=A3)*('Group Stage'!$E$2:$E$73&gt;'Group Stage'!$F$2:$F$73))*3+
  (('Group Stage'!$D$2:$D$73=A3)*('Group Stage'!$F$2:$F$73&gt;'Group Stage'!$E$2:$E$73))*3+
  (('Group Stage'!$C$2:$C$73=A3)*('Group Stage'!$E$2:$E$73='Group Stage'!$F$2:$F$73))*1+
  (('Group Stage'!$D$2:$D$73=A3)*('Group Stage'!$F$2:$F$73='Group Stage'!$E$2:$E$73))*1
)</f>
        <v>5</v>
      </c>
      <c r="Q3" cm="1">
        <f t="array" ref="Q3">SUMPRODUCT(
  ('Group Stage'!$C$2:$C$73=A3)*('Group Stage'!$E$2:$E$73-'Group Stage'!$F$2:$F$73)+
  ('Group Stage'!$D$2:$D$73=A3)*('Group Stage'!$F$2:$F$73-'Group Stage'!$E$2:$E$73)
)</f>
        <v>1</v>
      </c>
      <c r="R3" cm="1">
        <f t="array" ref="R3">SUMPRODUCT(
  ('Group Stage'!$C$2:$C$73=A3)*'Group Stage'!$E$2:$E$73+
  ('Group Stage'!$D$2:$D$73=A3)*'Group Stage'!$F$2:$F$73
)</f>
        <v>1</v>
      </c>
      <c r="S3" cm="1">
        <f t="array" ref="S3">SUMPRODUCT(
  (('Elimination Rounds'!$L$2:$L$49=L3)*
  (('Elimination Rounds'!$P$2:$P$49&gt;P3)+
  ('Elimination Rounds'!$P$2:$P$49=P3)*('Elimination Rounds'!$Q$2:$Q$49&gt;Q3)+
  ('Elimination Rounds'!$P$2:$P$49=P3)*('Elimination Rounds'!$Q$2:$Q$49=Q3)*('Elimination Rounds'!$R$2:$R$49&gt;R3)))
)+1</f>
        <v>2</v>
      </c>
      <c r="U3" t="str">
        <v>South Korea</v>
      </c>
      <c r="V3" t="str">
        <v>A</v>
      </c>
      <c r="W3">
        <v>1</v>
      </c>
      <c r="X3">
        <v>2</v>
      </c>
      <c r="Y3">
        <v>0</v>
      </c>
      <c r="Z3">
        <v>5</v>
      </c>
      <c r="AA3">
        <v>1</v>
      </c>
      <c r="AB3">
        <v>1</v>
      </c>
      <c r="AC3">
        <v>2</v>
      </c>
      <c r="AF3" s="2" t="str">
        <f t="shared" ref="AF3:AF5" si="3">U3</f>
        <v>South Korea</v>
      </c>
      <c r="AG3" s="3" t="str">
        <f t="shared" ref="AG3:AG5" si="4">V3</f>
        <v>A</v>
      </c>
      <c r="AH3" s="3">
        <f t="shared" ref="AH3:AH5" si="5">W3</f>
        <v>1</v>
      </c>
      <c r="AI3" s="3">
        <f t="shared" ref="AI3:AI5" si="6">X3</f>
        <v>2</v>
      </c>
      <c r="AJ3" s="3">
        <f t="shared" ref="AJ3:AJ5" si="7">Y3</f>
        <v>0</v>
      </c>
      <c r="AK3" s="3">
        <f t="shared" ref="AK3:AK5" si="8">Z3</f>
        <v>5</v>
      </c>
      <c r="AL3" s="3">
        <f t="shared" ref="AL3:AL5" si="9">AA3</f>
        <v>1</v>
      </c>
      <c r="AM3" s="3">
        <f t="shared" ref="AM3:AM5" si="10">AB3</f>
        <v>1</v>
      </c>
      <c r="AN3" s="3">
        <f t="shared" ref="AN3:AN5" si="11">AC3</f>
        <v>2</v>
      </c>
      <c r="AP3" s="2" t="str">
        <f t="shared" ref="AP3:AP5" si="12">U35</f>
        <v>Norway</v>
      </c>
      <c r="AQ3" s="3" t="str">
        <f t="shared" ref="AQ3:AQ5" si="13">V35</f>
        <v>I</v>
      </c>
      <c r="AR3" s="3">
        <f t="shared" ref="AR3:AR5" si="14">W35</f>
        <v>1</v>
      </c>
      <c r="AS3" s="3">
        <f t="shared" ref="AS3:AS5" si="15">X35</f>
        <v>1</v>
      </c>
      <c r="AT3" s="3">
        <f t="shared" ref="AT3:AT5" si="16">Y35</f>
        <v>1</v>
      </c>
      <c r="AU3" s="3">
        <f t="shared" ref="AU3:AU5" si="17">Z35</f>
        <v>4</v>
      </c>
      <c r="AV3" s="3">
        <f t="shared" ref="AV3:AV5" si="18">AA35</f>
        <v>0</v>
      </c>
      <c r="AW3" s="3">
        <f t="shared" ref="AW3:AW5" si="19">AB35</f>
        <v>3</v>
      </c>
      <c r="AX3" s="3">
        <f t="shared" ref="AX3:AX5" si="20">AC35</f>
        <v>2</v>
      </c>
    </row>
    <row r="4" spans="1:50" x14ac:dyDescent="0.35">
      <c r="A4" s="2" t="s">
        <v>29</v>
      </c>
      <c r="B4" s="3" t="str">
        <f t="shared" si="0"/>
        <v>A4</v>
      </c>
      <c r="C4" s="3" t="s">
        <v>26</v>
      </c>
      <c r="D4" s="10">
        <v>4</v>
      </c>
      <c r="E4" s="10"/>
      <c r="F4" s="10"/>
      <c r="G4" s="10"/>
      <c r="H4" s="10"/>
      <c r="I4" s="10"/>
      <c r="K4" s="2" t="s">
        <v>29</v>
      </c>
      <c r="L4" s="3" t="s">
        <v>26</v>
      </c>
      <c r="M4" cm="1">
        <f t="array" ref="M4">SUMPRODUCT(
  (('Group Stage'!$C$2:$C$73=A4)*('Group Stage'!$E$2:$E$73&gt;'Group Stage'!$F$2:$F$73))+
  (('Group Stage'!$D$2:$D$73=A4)*('Group Stage'!$F$2:$F$73&gt;'Group Stage'!$E$2:$E$73))
)</f>
        <v>0</v>
      </c>
      <c r="N4" cm="1">
        <f t="array" ref="N4">SUMPRODUCT(
  (('Group Stage'!$C$2:$C$73=A4)*('Group Stage'!$E$2:$E$73='Group Stage'!$F$2:$F$73))+
  (('Group Stage'!$D$2:$D$73=A4)*('Group Stage'!$F$2:$F$73='Group Stage'!$E$2:$E$73))
)</f>
        <v>0</v>
      </c>
      <c r="O4" cm="1">
        <f t="array" ref="O4">SUMPRODUCT(
  (('Group Stage'!$C$2:$C$73=A4)*('Group Stage'!$E$2:$E$73&lt;'Group Stage'!$F$2:$F$73))+
  (('Group Stage'!$D$2:$D$73=A4)*('Group Stage'!$F$2:$F$73&lt;'Group Stage'!$E$2:$E$73))
)</f>
        <v>3</v>
      </c>
      <c r="P4" cm="1">
        <f t="array" ref="P4">SUMPRODUCT(
  (('Group Stage'!$C$2:$C$73=A4)*('Group Stage'!$E$2:$E$73&gt;'Group Stage'!$F$2:$F$73))*3+
  (('Group Stage'!$D$2:$D$73=A4)*('Group Stage'!$F$2:$F$73&gt;'Group Stage'!$E$2:$E$73))*3+
  (('Group Stage'!$C$2:$C$73=A4)*('Group Stage'!$E$2:$E$73='Group Stage'!$F$2:$F$73))*1+
  (('Group Stage'!$D$2:$D$73=A4)*('Group Stage'!$F$2:$F$73='Group Stage'!$E$2:$E$73))*1
)</f>
        <v>0</v>
      </c>
      <c r="Q4" cm="1">
        <f t="array" ref="Q4">SUMPRODUCT(
  ('Group Stage'!$C$2:$C$73=A4)*('Group Stage'!$E$2:$E$73-'Group Stage'!$F$2:$F$73)+
  ('Group Stage'!$D$2:$D$73=A4)*('Group Stage'!$F$2:$F$73-'Group Stage'!$E$2:$E$73)
)</f>
        <v>-4</v>
      </c>
      <c r="R4" cm="1">
        <f t="array" ref="R4">SUMPRODUCT(
  ('Group Stage'!$C$2:$C$73=A4)*'Group Stage'!$E$2:$E$73+
  ('Group Stage'!$D$2:$D$73=A4)*'Group Stage'!$F$2:$F$73
)</f>
        <v>0</v>
      </c>
      <c r="S4" cm="1">
        <f t="array" ref="S4">SUMPRODUCT(
  (('Elimination Rounds'!$L$2:$L$49=L4)*
  (('Elimination Rounds'!$P$2:$P$49&gt;P4)+
  ('Elimination Rounds'!$P$2:$P$49=P4)*('Elimination Rounds'!$Q$2:$Q$49&gt;Q4)+
  ('Elimination Rounds'!$P$2:$P$49=P4)*('Elimination Rounds'!$Q$2:$Q$49=Q4)*('Elimination Rounds'!$R$2:$R$49&gt;R4)))
)+1</f>
        <v>4</v>
      </c>
      <c r="U4" t="str">
        <v>Czechia</v>
      </c>
      <c r="V4" t="str">
        <v>A</v>
      </c>
      <c r="W4">
        <v>1</v>
      </c>
      <c r="X4">
        <v>1</v>
      </c>
      <c r="Y4">
        <v>1</v>
      </c>
      <c r="Z4">
        <v>4</v>
      </c>
      <c r="AA4">
        <v>-1</v>
      </c>
      <c r="AB4">
        <v>1</v>
      </c>
      <c r="AC4">
        <v>3</v>
      </c>
      <c r="AF4" s="2" t="str">
        <f t="shared" si="3"/>
        <v>Czechia</v>
      </c>
      <c r="AG4" s="3" t="str">
        <f t="shared" si="4"/>
        <v>A</v>
      </c>
      <c r="AH4" s="3">
        <f t="shared" si="5"/>
        <v>1</v>
      </c>
      <c r="AI4" s="3">
        <f t="shared" si="6"/>
        <v>1</v>
      </c>
      <c r="AJ4" s="3">
        <f t="shared" si="7"/>
        <v>1</v>
      </c>
      <c r="AK4" s="3">
        <f t="shared" si="8"/>
        <v>4</v>
      </c>
      <c r="AL4" s="3">
        <f t="shared" si="9"/>
        <v>-1</v>
      </c>
      <c r="AM4" s="3">
        <f t="shared" si="10"/>
        <v>1</v>
      </c>
      <c r="AN4" s="3">
        <f t="shared" si="11"/>
        <v>3</v>
      </c>
      <c r="AP4" s="2" t="str">
        <f t="shared" si="12"/>
        <v>Senegal</v>
      </c>
      <c r="AQ4" s="3" t="str">
        <f t="shared" si="13"/>
        <v>I</v>
      </c>
      <c r="AR4" s="3">
        <f t="shared" si="14"/>
        <v>1</v>
      </c>
      <c r="AS4" s="3">
        <f t="shared" si="15"/>
        <v>1</v>
      </c>
      <c r="AT4" s="3">
        <f t="shared" si="16"/>
        <v>1</v>
      </c>
      <c r="AU4" s="3">
        <f t="shared" si="17"/>
        <v>4</v>
      </c>
      <c r="AV4" s="3">
        <f t="shared" si="18"/>
        <v>-1</v>
      </c>
      <c r="AW4" s="3">
        <f t="shared" si="19"/>
        <v>2</v>
      </c>
      <c r="AX4" s="3">
        <f t="shared" si="20"/>
        <v>3</v>
      </c>
    </row>
    <row r="5" spans="1:50" x14ac:dyDescent="0.35">
      <c r="A5" s="2" t="s">
        <v>30</v>
      </c>
      <c r="B5" s="3" t="str">
        <f t="shared" si="0"/>
        <v>A3</v>
      </c>
      <c r="C5" s="3" t="s">
        <v>26</v>
      </c>
      <c r="D5" s="10">
        <v>3</v>
      </c>
      <c r="E5" s="10"/>
      <c r="F5" s="10"/>
      <c r="G5" s="10"/>
      <c r="H5" s="10"/>
      <c r="I5" s="10"/>
      <c r="K5" s="2" t="s">
        <v>30</v>
      </c>
      <c r="L5" s="3" t="s">
        <v>26</v>
      </c>
      <c r="M5" cm="1">
        <f t="array" ref="M5">SUMPRODUCT(
  (('Group Stage'!$C$2:$C$73=A5)*('Group Stage'!$E$2:$E$73&gt;'Group Stage'!$F$2:$F$73))+
  (('Group Stage'!$D$2:$D$73=A5)*('Group Stage'!$F$2:$F$73&gt;'Group Stage'!$E$2:$E$73))
)</f>
        <v>1</v>
      </c>
      <c r="N5" cm="1">
        <f t="array" ref="N5">SUMPRODUCT(
  (('Group Stage'!$C$2:$C$73=A5)*('Group Stage'!$E$2:$E$73='Group Stage'!$F$2:$F$73))+
  (('Group Stage'!$D$2:$D$73=A5)*('Group Stage'!$F$2:$F$73='Group Stage'!$E$2:$E$73))
)</f>
        <v>1</v>
      </c>
      <c r="O5" cm="1">
        <f t="array" ref="O5">SUMPRODUCT(
  (('Group Stage'!$C$2:$C$73=A5)*('Group Stage'!$E$2:$E$73&lt;'Group Stage'!$F$2:$F$73))+
  (('Group Stage'!$D$2:$D$73=A5)*('Group Stage'!$F$2:$F$73&lt;'Group Stage'!$E$2:$E$73))
)</f>
        <v>1</v>
      </c>
      <c r="P5" cm="1">
        <f t="array" ref="P5">SUMPRODUCT(
  (('Group Stage'!$C$2:$C$73=A5)*('Group Stage'!$E$2:$E$73&gt;'Group Stage'!$F$2:$F$73))*3+
  (('Group Stage'!$D$2:$D$73=A5)*('Group Stage'!$F$2:$F$73&gt;'Group Stage'!$E$2:$E$73))*3+
  (('Group Stage'!$C$2:$C$73=A5)*('Group Stage'!$E$2:$E$73='Group Stage'!$F$2:$F$73))*1+
  (('Group Stage'!$D$2:$D$73=A5)*('Group Stage'!$F$2:$F$73='Group Stage'!$E$2:$E$73))*1
)</f>
        <v>4</v>
      </c>
      <c r="Q5" cm="1">
        <f t="array" ref="Q5">SUMPRODUCT(
  ('Group Stage'!$C$2:$C$73=A5)*('Group Stage'!$E$2:$E$73-'Group Stage'!$F$2:$F$73)+
  ('Group Stage'!$D$2:$D$73=A5)*('Group Stage'!$F$2:$F$73-'Group Stage'!$E$2:$E$73)
)</f>
        <v>-1</v>
      </c>
      <c r="R5" cm="1">
        <f t="array" ref="R5">SUMPRODUCT(
  ('Group Stage'!$C$2:$C$73=A5)*'Group Stage'!$E$2:$E$73+
  ('Group Stage'!$D$2:$D$73=A5)*'Group Stage'!$F$2:$F$73
)</f>
        <v>1</v>
      </c>
      <c r="S5" cm="1">
        <f t="array" ref="S5">SUMPRODUCT(
  (('Elimination Rounds'!$L$2:$L$49=L5)*
  (('Elimination Rounds'!$P$2:$P$49&gt;P5)+
  ('Elimination Rounds'!$P$2:$P$49=P5)*('Elimination Rounds'!$Q$2:$Q$49&gt;Q5)+
  ('Elimination Rounds'!$P$2:$P$49=P5)*('Elimination Rounds'!$Q$2:$Q$49=Q5)*('Elimination Rounds'!$R$2:$R$49&gt;R5)))
)+1</f>
        <v>3</v>
      </c>
      <c r="U5" t="str">
        <v>South Africa</v>
      </c>
      <c r="V5" t="str">
        <v>A</v>
      </c>
      <c r="W5">
        <v>0</v>
      </c>
      <c r="X5">
        <v>0</v>
      </c>
      <c r="Y5">
        <v>3</v>
      </c>
      <c r="Z5">
        <v>0</v>
      </c>
      <c r="AA5">
        <v>-4</v>
      </c>
      <c r="AB5">
        <v>0</v>
      </c>
      <c r="AC5">
        <v>4</v>
      </c>
      <c r="AF5" s="2" t="str">
        <f t="shared" si="3"/>
        <v>South Africa</v>
      </c>
      <c r="AG5" s="3" t="str">
        <f t="shared" si="4"/>
        <v>A</v>
      </c>
      <c r="AH5" s="3">
        <f t="shared" si="5"/>
        <v>0</v>
      </c>
      <c r="AI5" s="3">
        <f t="shared" si="6"/>
        <v>0</v>
      </c>
      <c r="AJ5" s="3">
        <f t="shared" si="7"/>
        <v>3</v>
      </c>
      <c r="AK5" s="3">
        <f t="shared" si="8"/>
        <v>0</v>
      </c>
      <c r="AL5" s="3">
        <f t="shared" si="9"/>
        <v>-4</v>
      </c>
      <c r="AM5" s="3">
        <f t="shared" si="10"/>
        <v>0</v>
      </c>
      <c r="AN5" s="3">
        <f t="shared" si="11"/>
        <v>4</v>
      </c>
      <c r="AP5" s="2" t="str">
        <f t="shared" si="12"/>
        <v>Iraq</v>
      </c>
      <c r="AQ5" s="3" t="str">
        <f t="shared" si="13"/>
        <v>I</v>
      </c>
      <c r="AR5" s="3">
        <f t="shared" si="14"/>
        <v>0</v>
      </c>
      <c r="AS5" s="3">
        <f t="shared" si="15"/>
        <v>0</v>
      </c>
      <c r="AT5" s="3">
        <f t="shared" si="16"/>
        <v>3</v>
      </c>
      <c r="AU5" s="3">
        <f t="shared" si="17"/>
        <v>0</v>
      </c>
      <c r="AV5" s="3">
        <f t="shared" si="18"/>
        <v>-5</v>
      </c>
      <c r="AW5" s="3">
        <f t="shared" si="19"/>
        <v>0</v>
      </c>
      <c r="AX5" s="3">
        <f t="shared" si="20"/>
        <v>4</v>
      </c>
    </row>
    <row r="6" spans="1:50" x14ac:dyDescent="0.35">
      <c r="A6" s="2" t="s">
        <v>34</v>
      </c>
      <c r="B6" s="3" t="str">
        <f t="shared" si="0"/>
        <v>B2</v>
      </c>
      <c r="C6" s="3" t="s">
        <v>33</v>
      </c>
      <c r="D6" s="10">
        <v>2</v>
      </c>
      <c r="E6" s="10">
        <v>1</v>
      </c>
      <c r="F6" s="10"/>
      <c r="G6" s="10"/>
      <c r="H6" s="10"/>
      <c r="I6" s="10"/>
      <c r="K6" s="2" t="s">
        <v>34</v>
      </c>
      <c r="L6" s="3" t="s">
        <v>33</v>
      </c>
      <c r="M6" cm="1">
        <f t="array" ref="M6">SUMPRODUCT(
  (('Group Stage'!$C$2:$C$73=A6)*('Group Stage'!$E$2:$E$73&gt;'Group Stage'!$F$2:$F$73))+
  (('Group Stage'!$D$2:$D$73=A6)*('Group Stage'!$F$2:$F$73&gt;'Group Stage'!$E$2:$E$73))
)</f>
        <v>2</v>
      </c>
      <c r="N6" cm="1">
        <f t="array" ref="N6">SUMPRODUCT(
  (('Group Stage'!$C$2:$C$73=A6)*('Group Stage'!$E$2:$E$73='Group Stage'!$F$2:$F$73))+
  (('Group Stage'!$D$2:$D$73=A6)*('Group Stage'!$F$2:$F$73='Group Stage'!$E$2:$E$73))
)</f>
        <v>1</v>
      </c>
      <c r="O6" cm="1">
        <f t="array" ref="O6">SUMPRODUCT(
  (('Group Stage'!$C$2:$C$73=A6)*('Group Stage'!$E$2:$E$73&lt;'Group Stage'!$F$2:$F$73))+
  (('Group Stage'!$D$2:$D$73=A6)*('Group Stage'!$F$2:$F$73&lt;'Group Stage'!$E$2:$E$73))
)</f>
        <v>0</v>
      </c>
      <c r="P6" cm="1">
        <f t="array" ref="P6">SUMPRODUCT(
  (('Group Stage'!$C$2:$C$73=A6)*('Group Stage'!$E$2:$E$73&gt;'Group Stage'!$F$2:$F$73))*3+
  (('Group Stage'!$D$2:$D$73=A6)*('Group Stage'!$F$2:$F$73&gt;'Group Stage'!$E$2:$E$73))*3+
  (('Group Stage'!$C$2:$C$73=A6)*('Group Stage'!$E$2:$E$73='Group Stage'!$F$2:$F$73))*1+
  (('Group Stage'!$D$2:$D$73=A6)*('Group Stage'!$F$2:$F$73='Group Stage'!$E$2:$E$73))*1
)</f>
        <v>7</v>
      </c>
      <c r="Q6" cm="1">
        <f t="array" ref="Q6">SUMPRODUCT(
  ('Group Stage'!$C$2:$C$73=A6)*('Group Stage'!$E$2:$E$73-'Group Stage'!$F$2:$F$73)+
  ('Group Stage'!$D$2:$D$73=A6)*('Group Stage'!$F$2:$F$73-'Group Stage'!$E$2:$E$73)
)</f>
        <v>2</v>
      </c>
      <c r="R6" cm="1">
        <f t="array" ref="R6">SUMPRODUCT(
  ('Group Stage'!$C$2:$C$73=A6)*'Group Stage'!$E$2:$E$73+
  ('Group Stage'!$D$2:$D$73=A6)*'Group Stage'!$F$2:$F$73
)</f>
        <v>2</v>
      </c>
      <c r="S6" cm="1">
        <f t="array" ref="S6">SUMPRODUCT(
  (('Elimination Rounds'!$L$2:$L$49=L6)*
  (('Elimination Rounds'!$P$2:$P$49&gt;P6)+
  ('Elimination Rounds'!$P$2:$P$49=P6)*('Elimination Rounds'!$Q$2:$Q$49&gt;Q6)+
  ('Elimination Rounds'!$P$2:$P$49=P6)*('Elimination Rounds'!$Q$2:$Q$49=Q6)*('Elimination Rounds'!$R$2:$R$49&gt;R6)))
)+1</f>
        <v>2</v>
      </c>
      <c r="U6" t="str">
        <v>Switzerland</v>
      </c>
      <c r="V6" t="str">
        <v>B</v>
      </c>
      <c r="W6">
        <v>2</v>
      </c>
      <c r="X6">
        <v>1</v>
      </c>
      <c r="Y6">
        <v>0</v>
      </c>
      <c r="Z6">
        <v>7</v>
      </c>
      <c r="AA6">
        <v>3</v>
      </c>
      <c r="AB6">
        <v>3</v>
      </c>
      <c r="AC6">
        <v>1</v>
      </c>
    </row>
    <row r="7" spans="1:50" x14ac:dyDescent="0.35">
      <c r="A7" s="2" t="s">
        <v>35</v>
      </c>
      <c r="B7" s="3" t="str">
        <f t="shared" si="0"/>
        <v>B1</v>
      </c>
      <c r="C7" s="3" t="s">
        <v>33</v>
      </c>
      <c r="D7" s="10">
        <v>1</v>
      </c>
      <c r="E7" s="10"/>
      <c r="F7" s="10"/>
      <c r="G7" s="10"/>
      <c r="H7" s="10"/>
      <c r="I7" s="10"/>
      <c r="K7" s="2" t="s">
        <v>35</v>
      </c>
      <c r="L7" s="3" t="s">
        <v>33</v>
      </c>
      <c r="M7" cm="1">
        <f t="array" ref="M7">SUMPRODUCT(
  (('Group Stage'!$C$2:$C$73=A7)*('Group Stage'!$E$2:$E$73&gt;'Group Stage'!$F$2:$F$73))+
  (('Group Stage'!$D$2:$D$73=A7)*('Group Stage'!$F$2:$F$73&gt;'Group Stage'!$E$2:$E$73))
)</f>
        <v>2</v>
      </c>
      <c r="N7" cm="1">
        <f t="array" ref="N7">SUMPRODUCT(
  (('Group Stage'!$C$2:$C$73=A7)*('Group Stage'!$E$2:$E$73='Group Stage'!$F$2:$F$73))+
  (('Group Stage'!$D$2:$D$73=A7)*('Group Stage'!$F$2:$F$73='Group Stage'!$E$2:$E$73))
)</f>
        <v>1</v>
      </c>
      <c r="O7" cm="1">
        <f t="array" ref="O7">SUMPRODUCT(
  (('Group Stage'!$C$2:$C$73=A7)*('Group Stage'!$E$2:$E$73&lt;'Group Stage'!$F$2:$F$73))+
  (('Group Stage'!$D$2:$D$73=A7)*('Group Stage'!$F$2:$F$73&lt;'Group Stage'!$E$2:$E$73))
)</f>
        <v>0</v>
      </c>
      <c r="P7" cm="1">
        <f t="array" ref="P7">SUMPRODUCT(
  (('Group Stage'!$C$2:$C$73=A7)*('Group Stage'!$E$2:$E$73&gt;'Group Stage'!$F$2:$F$73))*3+
  (('Group Stage'!$D$2:$D$73=A7)*('Group Stage'!$F$2:$F$73&gt;'Group Stage'!$E$2:$E$73))*3+
  (('Group Stage'!$C$2:$C$73=A7)*('Group Stage'!$E$2:$E$73='Group Stage'!$F$2:$F$73))*1+
  (('Group Stage'!$D$2:$D$73=A7)*('Group Stage'!$F$2:$F$73='Group Stage'!$E$2:$E$73))*1
)</f>
        <v>7</v>
      </c>
      <c r="Q7" cm="1">
        <f t="array" ref="Q7">SUMPRODUCT(
  ('Group Stage'!$C$2:$C$73=A7)*('Group Stage'!$E$2:$E$73-'Group Stage'!$F$2:$F$73)+
  ('Group Stage'!$D$2:$D$73=A7)*('Group Stage'!$F$2:$F$73-'Group Stage'!$E$2:$E$73)
)</f>
        <v>3</v>
      </c>
      <c r="R7" cm="1">
        <f t="array" ref="R7">SUMPRODUCT(
  ('Group Stage'!$C$2:$C$73=A7)*'Group Stage'!$E$2:$E$73+
  ('Group Stage'!$D$2:$D$73=A7)*'Group Stage'!$F$2:$F$73
)</f>
        <v>3</v>
      </c>
      <c r="S7" cm="1">
        <f t="array" ref="S7">SUMPRODUCT(
  (('Elimination Rounds'!$L$2:$L$49=L7)*
  (('Elimination Rounds'!$P$2:$P$49&gt;P7)+
  ('Elimination Rounds'!$P$2:$P$49=P7)*('Elimination Rounds'!$Q$2:$Q$49&gt;Q7)+
  ('Elimination Rounds'!$P$2:$P$49=P7)*('Elimination Rounds'!$Q$2:$Q$49=Q7)*('Elimination Rounds'!$R$2:$R$49&gt;R7)))
)+1</f>
        <v>1</v>
      </c>
      <c r="U7" t="str">
        <v>Canada</v>
      </c>
      <c r="V7" t="str">
        <v>B</v>
      </c>
      <c r="W7">
        <v>2</v>
      </c>
      <c r="X7">
        <v>1</v>
      </c>
      <c r="Y7">
        <v>0</v>
      </c>
      <c r="Z7">
        <v>7</v>
      </c>
      <c r="AA7">
        <v>2</v>
      </c>
      <c r="AB7">
        <v>2</v>
      </c>
      <c r="AC7">
        <v>2</v>
      </c>
      <c r="AF7" s="1" t="s">
        <v>88</v>
      </c>
      <c r="AG7" s="1" t="s">
        <v>89</v>
      </c>
      <c r="AH7" s="18" t="s">
        <v>113</v>
      </c>
      <c r="AI7" s="18" t="s">
        <v>43</v>
      </c>
      <c r="AJ7" s="18" t="s">
        <v>83</v>
      </c>
      <c r="AK7" s="18" t="s">
        <v>114</v>
      </c>
      <c r="AL7" s="18" t="s">
        <v>115</v>
      </c>
      <c r="AM7" s="18" t="s">
        <v>117</v>
      </c>
      <c r="AN7" s="18" t="s">
        <v>116</v>
      </c>
      <c r="AP7" s="1" t="s">
        <v>88</v>
      </c>
      <c r="AQ7" s="1" t="s">
        <v>89</v>
      </c>
      <c r="AR7" s="18" t="s">
        <v>113</v>
      </c>
      <c r="AS7" s="18" t="s">
        <v>43</v>
      </c>
      <c r="AT7" s="18" t="s">
        <v>83</v>
      </c>
      <c r="AU7" s="18" t="s">
        <v>114</v>
      </c>
      <c r="AV7" s="18" t="s">
        <v>115</v>
      </c>
      <c r="AW7" s="18" t="s">
        <v>117</v>
      </c>
      <c r="AX7" s="18" t="s">
        <v>116</v>
      </c>
    </row>
    <row r="8" spans="1:50" x14ac:dyDescent="0.3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  <c r="K8" s="2" t="s">
        <v>36</v>
      </c>
      <c r="L8" s="3" t="s">
        <v>33</v>
      </c>
      <c r="M8" cm="1">
        <f t="array" ref="M8">SUMPRODUCT(
  (('Group Stage'!$C$2:$C$73=A8)*('Group Stage'!$E$2:$E$73&gt;'Group Stage'!$F$2:$F$73))+
  (('Group Stage'!$D$2:$D$73=A8)*('Group Stage'!$F$2:$F$73&gt;'Group Stage'!$E$2:$E$73))
)</f>
        <v>0</v>
      </c>
      <c r="N8" cm="1">
        <f t="array" ref="N8">SUMPRODUCT(
  (('Group Stage'!$C$2:$C$73=A8)*('Group Stage'!$E$2:$E$73='Group Stage'!$F$2:$F$73))+
  (('Group Stage'!$D$2:$D$73=A8)*('Group Stage'!$F$2:$F$73='Group Stage'!$E$2:$E$73))
)</f>
        <v>0</v>
      </c>
      <c r="O8" cm="1">
        <f t="array" ref="O8">SUMPRODUCT(
  (('Group Stage'!$C$2:$C$73=A8)*('Group Stage'!$E$2:$E$73&lt;'Group Stage'!$F$2:$F$73))+
  (('Group Stage'!$D$2:$D$73=A8)*('Group Stage'!$F$2:$F$73&lt;'Group Stage'!$E$2:$E$73))
)</f>
        <v>3</v>
      </c>
      <c r="P8" cm="1">
        <f t="array" ref="P8">SUMPRODUCT(
  (('Group Stage'!$C$2:$C$73=A8)*('Group Stage'!$E$2:$E$73&gt;'Group Stage'!$F$2:$F$73))*3+
  (('Group Stage'!$D$2:$D$73=A8)*('Group Stage'!$F$2:$F$73&gt;'Group Stage'!$E$2:$E$73))*3+
  (('Group Stage'!$C$2:$C$73=A8)*('Group Stage'!$E$2:$E$73='Group Stage'!$F$2:$F$73))*1+
  (('Group Stage'!$D$2:$D$73=A8)*('Group Stage'!$F$2:$F$73='Group Stage'!$E$2:$E$73))*1
)</f>
        <v>0</v>
      </c>
      <c r="Q8" cm="1">
        <f t="array" ref="Q8">SUMPRODUCT(
  ('Group Stage'!$C$2:$C$73=A8)*('Group Stage'!$E$2:$E$73-'Group Stage'!$F$2:$F$73)+
  ('Group Stage'!$D$2:$D$73=A8)*('Group Stage'!$F$2:$F$73-'Group Stage'!$E$2:$E$73)
)</f>
        <v>-4</v>
      </c>
      <c r="R8" cm="1">
        <f t="array" ref="R8">SUMPRODUCT(
  ('Group Stage'!$C$2:$C$73=A8)*'Group Stage'!$E$2:$E$73+
  ('Group Stage'!$D$2:$D$73=A8)*'Group Stage'!$F$2:$F$73
)</f>
        <v>0</v>
      </c>
      <c r="S8" cm="1">
        <f t="array" ref="S8">SUMPRODUCT(
  (('Elimination Rounds'!$L$2:$L$49=L8)*
  (('Elimination Rounds'!$P$2:$P$49&gt;P8)+
  ('Elimination Rounds'!$P$2:$P$49=P8)*('Elimination Rounds'!$Q$2:$Q$49&gt;Q8)+
  ('Elimination Rounds'!$P$2:$P$49=P8)*('Elimination Rounds'!$Q$2:$Q$49=Q8)*('Elimination Rounds'!$R$2:$R$49&gt;R8)))
)+1</f>
        <v>4</v>
      </c>
      <c r="U8" t="str">
        <v>Bosnia-Herzegovina</v>
      </c>
      <c r="V8" t="str">
        <v>B</v>
      </c>
      <c r="W8">
        <v>1</v>
      </c>
      <c r="X8">
        <v>0</v>
      </c>
      <c r="Y8">
        <v>2</v>
      </c>
      <c r="Z8">
        <v>3</v>
      </c>
      <c r="AA8">
        <v>-1</v>
      </c>
      <c r="AB8">
        <v>1</v>
      </c>
      <c r="AC8">
        <v>3</v>
      </c>
      <c r="AF8" s="2" t="str">
        <f>U6</f>
        <v>Switzerland</v>
      </c>
      <c r="AG8" s="3" t="str">
        <f t="shared" ref="AG8:AN8" si="21">V6</f>
        <v>B</v>
      </c>
      <c r="AH8" s="3">
        <f t="shared" si="21"/>
        <v>2</v>
      </c>
      <c r="AI8" s="3">
        <f t="shared" si="21"/>
        <v>1</v>
      </c>
      <c r="AJ8" s="3">
        <f t="shared" si="21"/>
        <v>0</v>
      </c>
      <c r="AK8" s="3">
        <f t="shared" si="21"/>
        <v>7</v>
      </c>
      <c r="AL8" s="3">
        <f t="shared" si="21"/>
        <v>3</v>
      </c>
      <c r="AM8" s="3">
        <f t="shared" si="21"/>
        <v>3</v>
      </c>
      <c r="AN8" s="3">
        <f t="shared" si="21"/>
        <v>1</v>
      </c>
      <c r="AP8" s="2" t="str">
        <f>U38</f>
        <v>Argentina</v>
      </c>
      <c r="AQ8" s="3" t="str">
        <f t="shared" ref="AQ8:AX8" si="22">V38</f>
        <v>J</v>
      </c>
      <c r="AR8" s="3">
        <f t="shared" si="22"/>
        <v>3</v>
      </c>
      <c r="AS8" s="3">
        <f t="shared" si="22"/>
        <v>0</v>
      </c>
      <c r="AT8" s="3">
        <f t="shared" si="22"/>
        <v>0</v>
      </c>
      <c r="AU8" s="3">
        <f t="shared" si="22"/>
        <v>9</v>
      </c>
      <c r="AV8" s="3">
        <f t="shared" si="22"/>
        <v>6</v>
      </c>
      <c r="AW8" s="3">
        <f t="shared" si="22"/>
        <v>6</v>
      </c>
      <c r="AX8" s="3">
        <f t="shared" si="22"/>
        <v>1</v>
      </c>
    </row>
    <row r="9" spans="1:50" x14ac:dyDescent="0.35">
      <c r="A9" s="2" t="s">
        <v>37</v>
      </c>
      <c r="B9" s="3" t="str">
        <f t="shared" si="0"/>
        <v>B3</v>
      </c>
      <c r="C9" s="3" t="s">
        <v>33</v>
      </c>
      <c r="D9" s="10">
        <v>3</v>
      </c>
      <c r="E9" s="10"/>
      <c r="F9" s="10"/>
      <c r="G9" s="10"/>
      <c r="H9" s="10"/>
      <c r="I9" s="10"/>
      <c r="K9" s="2" t="s">
        <v>37</v>
      </c>
      <c r="L9" s="3" t="s">
        <v>33</v>
      </c>
      <c r="M9" cm="1">
        <f t="array" ref="M9">SUMPRODUCT(
  (('Group Stage'!$C$2:$C$73=A9)*('Group Stage'!$E$2:$E$73&gt;'Group Stage'!$F$2:$F$73))+
  (('Group Stage'!$D$2:$D$73=A9)*('Group Stage'!$F$2:$F$73&gt;'Group Stage'!$E$2:$E$73))
)</f>
        <v>1</v>
      </c>
      <c r="N9" cm="1">
        <f t="array" ref="N9">SUMPRODUCT(
  (('Group Stage'!$C$2:$C$73=A9)*('Group Stage'!$E$2:$E$73='Group Stage'!$F$2:$F$73))+
  (('Group Stage'!$D$2:$D$73=A9)*('Group Stage'!$F$2:$F$73='Group Stage'!$E$2:$E$73))
)</f>
        <v>0</v>
      </c>
      <c r="O9" cm="1">
        <f t="array" ref="O9">SUMPRODUCT(
  (('Group Stage'!$C$2:$C$73=A9)*('Group Stage'!$E$2:$E$73&lt;'Group Stage'!$F$2:$F$73))+
  (('Group Stage'!$D$2:$D$73=A9)*('Group Stage'!$F$2:$F$73&lt;'Group Stage'!$E$2:$E$73))
)</f>
        <v>2</v>
      </c>
      <c r="P9" cm="1">
        <f t="array" ref="P9">SUMPRODUCT(
  (('Group Stage'!$C$2:$C$73=A9)*('Group Stage'!$E$2:$E$73&gt;'Group Stage'!$F$2:$F$73))*3+
  (('Group Stage'!$D$2:$D$73=A9)*('Group Stage'!$F$2:$F$73&gt;'Group Stage'!$E$2:$E$73))*3+
  (('Group Stage'!$C$2:$C$73=A9)*('Group Stage'!$E$2:$E$73='Group Stage'!$F$2:$F$73))*1+
  (('Group Stage'!$D$2:$D$73=A9)*('Group Stage'!$F$2:$F$73='Group Stage'!$E$2:$E$73))*1
)</f>
        <v>3</v>
      </c>
      <c r="Q9" cm="1">
        <f t="array" ref="Q9">SUMPRODUCT(
  ('Group Stage'!$C$2:$C$73=A9)*('Group Stage'!$E$2:$E$73-'Group Stage'!$F$2:$F$73)+
  ('Group Stage'!$D$2:$D$73=A9)*('Group Stage'!$F$2:$F$73-'Group Stage'!$E$2:$E$73)
)</f>
        <v>-1</v>
      </c>
      <c r="R9" cm="1">
        <f t="array" ref="R9">SUMPRODUCT(
  ('Group Stage'!$C$2:$C$73=A9)*'Group Stage'!$E$2:$E$73+
  ('Group Stage'!$D$2:$D$73=A9)*'Group Stage'!$F$2:$F$73
)</f>
        <v>1</v>
      </c>
      <c r="S9" cm="1">
        <f t="array" ref="S9">SUMPRODUCT(
  (('Elimination Rounds'!$L$2:$L$49=L9)*
  (('Elimination Rounds'!$P$2:$P$49&gt;P9)+
  ('Elimination Rounds'!$P$2:$P$49=P9)*('Elimination Rounds'!$Q$2:$Q$49&gt;Q9)+
  ('Elimination Rounds'!$P$2:$P$49=P9)*('Elimination Rounds'!$Q$2:$Q$49=Q9)*('Elimination Rounds'!$R$2:$R$49&gt;R9)))
)+1</f>
        <v>3</v>
      </c>
      <c r="U9" t="str">
        <v>Qatar</v>
      </c>
      <c r="V9" t="str">
        <v>B</v>
      </c>
      <c r="W9">
        <v>0</v>
      </c>
      <c r="X9">
        <v>0</v>
      </c>
      <c r="Y9">
        <v>3</v>
      </c>
      <c r="Z9">
        <v>0</v>
      </c>
      <c r="AA9">
        <v>-4</v>
      </c>
      <c r="AB9">
        <v>0</v>
      </c>
      <c r="AC9">
        <v>4</v>
      </c>
      <c r="AF9" s="2" t="str">
        <f t="shared" ref="AF9:AF11" si="23">U7</f>
        <v>Canada</v>
      </c>
      <c r="AG9" s="3" t="str">
        <f t="shared" ref="AG9:AG11" si="24">V7</f>
        <v>B</v>
      </c>
      <c r="AH9" s="3">
        <f t="shared" ref="AH9:AH11" si="25">W7</f>
        <v>2</v>
      </c>
      <c r="AI9" s="3">
        <f t="shared" ref="AI9:AI11" si="26">X7</f>
        <v>1</v>
      </c>
      <c r="AJ9" s="3">
        <f t="shared" ref="AJ9:AJ11" si="27">Y7</f>
        <v>0</v>
      </c>
      <c r="AK9" s="3">
        <f t="shared" ref="AK9:AK11" si="28">Z7</f>
        <v>7</v>
      </c>
      <c r="AL9" s="3">
        <f t="shared" ref="AL9:AL11" si="29">AA7</f>
        <v>2</v>
      </c>
      <c r="AM9" s="3">
        <f t="shared" ref="AM9:AM11" si="30">AB7</f>
        <v>2</v>
      </c>
      <c r="AN9" s="3">
        <f t="shared" ref="AN9:AN11" si="31">AC7</f>
        <v>2</v>
      </c>
      <c r="AP9" s="2" t="str">
        <f t="shared" ref="AP9:AP11" si="32">U39</f>
        <v>Austria</v>
      </c>
      <c r="AQ9" s="3" t="str">
        <f t="shared" ref="AQ9:AQ11" si="33">V39</f>
        <v>J</v>
      </c>
      <c r="AR9" s="3">
        <f t="shared" ref="AR9:AR11" si="34">W39</f>
        <v>2</v>
      </c>
      <c r="AS9" s="3">
        <f t="shared" ref="AS9:AS11" si="35">X39</f>
        <v>0</v>
      </c>
      <c r="AT9" s="3">
        <f t="shared" ref="AT9:AT11" si="36">Y39</f>
        <v>1</v>
      </c>
      <c r="AU9" s="3">
        <f t="shared" ref="AU9:AU11" si="37">Z39</f>
        <v>6</v>
      </c>
      <c r="AV9" s="3">
        <f t="shared" ref="AV9:AV11" si="38">AA39</f>
        <v>1</v>
      </c>
      <c r="AW9" s="3">
        <f t="shared" ref="AW9:AW11" si="39">AB39</f>
        <v>2</v>
      </c>
      <c r="AX9" s="3">
        <f t="shared" ref="AX9:AX11" si="40">AC39</f>
        <v>2</v>
      </c>
    </row>
    <row r="10" spans="1:50" x14ac:dyDescent="0.35">
      <c r="A10" s="2" t="s">
        <v>39</v>
      </c>
      <c r="B10" s="3" t="str">
        <f t="shared" si="0"/>
        <v>C1</v>
      </c>
      <c r="C10" s="3" t="s">
        <v>38</v>
      </c>
      <c r="D10" s="10">
        <v>1</v>
      </c>
      <c r="E10" s="10">
        <v>1</v>
      </c>
      <c r="F10" s="10">
        <v>1</v>
      </c>
      <c r="G10" s="10">
        <v>1</v>
      </c>
      <c r="H10" s="10"/>
      <c r="I10" s="10"/>
      <c r="K10" s="2" t="s">
        <v>39</v>
      </c>
      <c r="L10" s="3" t="s">
        <v>38</v>
      </c>
      <c r="M10" cm="1">
        <f t="array" ref="M10">SUMPRODUCT(
  (('Group Stage'!$C$2:$C$73=A10)*('Group Stage'!$E$2:$E$73&gt;'Group Stage'!$F$2:$F$73))+
  (('Group Stage'!$D$2:$D$73=A10)*('Group Stage'!$F$2:$F$73&gt;'Group Stage'!$E$2:$E$73))
)</f>
        <v>3</v>
      </c>
      <c r="N10" cm="1">
        <f t="array" ref="N10">SUMPRODUCT(
  (('Group Stage'!$C$2:$C$73=A10)*('Group Stage'!$E$2:$E$73='Group Stage'!$F$2:$F$73))+
  (('Group Stage'!$D$2:$D$73=A10)*('Group Stage'!$F$2:$F$73='Group Stage'!$E$2:$E$73))
)</f>
        <v>0</v>
      </c>
      <c r="O10" cm="1">
        <f t="array" ref="O10">SUMPRODUCT(
  (('Group Stage'!$C$2:$C$73=A10)*('Group Stage'!$E$2:$E$73&lt;'Group Stage'!$F$2:$F$73))+
  (('Group Stage'!$D$2:$D$73=A10)*('Group Stage'!$F$2:$F$73&lt;'Group Stage'!$E$2:$E$73))
)</f>
        <v>0</v>
      </c>
      <c r="P10" cm="1">
        <f t="array" ref="P10">SUMPRODUCT(
  (('Group Stage'!$C$2:$C$73=A10)*('Group Stage'!$E$2:$E$73&gt;'Group Stage'!$F$2:$F$73))*3+
  (('Group Stage'!$D$2:$D$73=A10)*('Group Stage'!$F$2:$F$73&gt;'Group Stage'!$E$2:$E$73))*3+
  (('Group Stage'!$C$2:$C$73=A10)*('Group Stage'!$E$2:$E$73='Group Stage'!$F$2:$F$73))*1+
  (('Group Stage'!$D$2:$D$73=A10)*('Group Stage'!$F$2:$F$73='Group Stage'!$E$2:$E$73))*1
)</f>
        <v>9</v>
      </c>
      <c r="Q10" cm="1">
        <f t="array" ref="Q10">SUMPRODUCT(
  ('Group Stage'!$C$2:$C$73=A10)*('Group Stage'!$E$2:$E$73-'Group Stage'!$F$2:$F$73)+
  ('Group Stage'!$D$2:$D$73=A10)*('Group Stage'!$F$2:$F$73-'Group Stage'!$E$2:$E$73)
)</f>
        <v>5</v>
      </c>
      <c r="R10" cm="1">
        <f t="array" ref="R10">SUMPRODUCT(
  ('Group Stage'!$C$2:$C$73=A10)*'Group Stage'!$E$2:$E$73+
  ('Group Stage'!$D$2:$D$73=A10)*'Group Stage'!$F$2:$F$73
)</f>
        <v>5</v>
      </c>
      <c r="S10" cm="1">
        <f t="array" ref="S10">SUMPRODUCT(
  (('Elimination Rounds'!$L$2:$L$49=L10)*
  (('Elimination Rounds'!$P$2:$P$49&gt;P10)+
  ('Elimination Rounds'!$P$2:$P$49=P10)*('Elimination Rounds'!$Q$2:$Q$49&gt;Q10)+
  ('Elimination Rounds'!$P$2:$P$49=P10)*('Elimination Rounds'!$Q$2:$Q$49=Q10)*('Elimination Rounds'!$R$2:$R$49&gt;R10)))
)+1</f>
        <v>1</v>
      </c>
      <c r="U10" t="str">
        <v>Brazil</v>
      </c>
      <c r="V10" t="str">
        <v>C</v>
      </c>
      <c r="W10">
        <v>3</v>
      </c>
      <c r="X10">
        <v>0</v>
      </c>
      <c r="Y10">
        <v>0</v>
      </c>
      <c r="Z10">
        <v>9</v>
      </c>
      <c r="AA10">
        <v>5</v>
      </c>
      <c r="AB10">
        <v>5</v>
      </c>
      <c r="AC10">
        <v>1</v>
      </c>
      <c r="AF10" s="2" t="str">
        <f t="shared" si="23"/>
        <v>Bosnia-Herzegovina</v>
      </c>
      <c r="AG10" s="3" t="str">
        <f t="shared" si="24"/>
        <v>B</v>
      </c>
      <c r="AH10" s="3">
        <f t="shared" si="25"/>
        <v>1</v>
      </c>
      <c r="AI10" s="3">
        <f t="shared" si="26"/>
        <v>0</v>
      </c>
      <c r="AJ10" s="3">
        <f t="shared" si="27"/>
        <v>2</v>
      </c>
      <c r="AK10" s="3">
        <f t="shared" si="28"/>
        <v>3</v>
      </c>
      <c r="AL10" s="3">
        <f t="shared" si="29"/>
        <v>-1</v>
      </c>
      <c r="AM10" s="3">
        <f t="shared" si="30"/>
        <v>1</v>
      </c>
      <c r="AN10" s="3">
        <f t="shared" si="31"/>
        <v>3</v>
      </c>
      <c r="AP10" s="2" t="str">
        <f t="shared" si="32"/>
        <v>Algeria</v>
      </c>
      <c r="AQ10" s="3" t="str">
        <f t="shared" si="33"/>
        <v>J</v>
      </c>
      <c r="AR10" s="3">
        <f t="shared" si="34"/>
        <v>1</v>
      </c>
      <c r="AS10" s="3">
        <f t="shared" si="35"/>
        <v>0</v>
      </c>
      <c r="AT10" s="3">
        <f t="shared" si="36"/>
        <v>2</v>
      </c>
      <c r="AU10" s="3">
        <f t="shared" si="37"/>
        <v>3</v>
      </c>
      <c r="AV10" s="3">
        <f t="shared" si="38"/>
        <v>-1</v>
      </c>
      <c r="AW10" s="3">
        <f t="shared" si="39"/>
        <v>2</v>
      </c>
      <c r="AX10" s="3">
        <f t="shared" si="40"/>
        <v>3</v>
      </c>
    </row>
    <row r="11" spans="1:50" x14ac:dyDescent="0.35">
      <c r="A11" s="2" t="s">
        <v>40</v>
      </c>
      <c r="B11" s="3" t="str">
        <f t="shared" si="0"/>
        <v>C2</v>
      </c>
      <c r="C11" s="3" t="s">
        <v>38</v>
      </c>
      <c r="D11" s="10">
        <v>2</v>
      </c>
      <c r="E11" s="10"/>
      <c r="F11" s="10"/>
      <c r="G11" s="10"/>
      <c r="H11" s="10"/>
      <c r="I11" s="10"/>
      <c r="K11" s="2" t="s">
        <v>40</v>
      </c>
      <c r="L11" s="3" t="s">
        <v>38</v>
      </c>
      <c r="M11" cm="1">
        <f t="array" ref="M11">SUMPRODUCT(
  (('Group Stage'!$C$2:$C$73=A11)*('Group Stage'!$E$2:$E$73&gt;'Group Stage'!$F$2:$F$73))+
  (('Group Stage'!$D$2:$D$73=A11)*('Group Stage'!$F$2:$F$73&gt;'Group Stage'!$E$2:$E$73))
)</f>
        <v>1</v>
      </c>
      <c r="N11" cm="1">
        <f t="array" ref="N11">SUMPRODUCT(
  (('Group Stage'!$C$2:$C$73=A11)*('Group Stage'!$E$2:$E$73='Group Stage'!$F$2:$F$73))+
  (('Group Stage'!$D$2:$D$73=A11)*('Group Stage'!$F$2:$F$73='Group Stage'!$E$2:$E$73))
)</f>
        <v>1</v>
      </c>
      <c r="O11" cm="1">
        <f t="array" ref="O11">SUMPRODUCT(
  (('Group Stage'!$C$2:$C$73=A11)*('Group Stage'!$E$2:$E$73&lt;'Group Stage'!$F$2:$F$73))+
  (('Group Stage'!$D$2:$D$73=A11)*('Group Stage'!$F$2:$F$73&lt;'Group Stage'!$E$2:$E$73))
)</f>
        <v>1</v>
      </c>
      <c r="P11" cm="1">
        <f t="array" ref="P11">SUMPRODUCT(
  (('Group Stage'!$C$2:$C$73=A11)*('Group Stage'!$E$2:$E$73&gt;'Group Stage'!$F$2:$F$73))*3+
  (('Group Stage'!$D$2:$D$73=A11)*('Group Stage'!$F$2:$F$73&gt;'Group Stage'!$E$2:$E$73))*3+
  (('Group Stage'!$C$2:$C$73=A11)*('Group Stage'!$E$2:$E$73='Group Stage'!$F$2:$F$73))*1+
  (('Group Stage'!$D$2:$D$73=A11)*('Group Stage'!$F$2:$F$73='Group Stage'!$E$2:$E$73))*1
)</f>
        <v>4</v>
      </c>
      <c r="Q11" cm="1">
        <f t="array" ref="Q11">SUMPRODUCT(
  ('Group Stage'!$C$2:$C$73=A11)*('Group Stage'!$E$2:$E$73-'Group Stage'!$F$2:$F$73)+
  ('Group Stage'!$D$2:$D$73=A11)*('Group Stage'!$F$2:$F$73-'Group Stage'!$E$2:$E$73)
)</f>
        <v>1</v>
      </c>
      <c r="R11" cm="1">
        <f t="array" ref="R11">SUMPRODUCT(
  ('Group Stage'!$C$2:$C$73=A11)*'Group Stage'!$E$2:$E$73+
  ('Group Stage'!$D$2:$D$73=A11)*'Group Stage'!$F$2:$F$73
)</f>
        <v>3</v>
      </c>
      <c r="S11" cm="1">
        <f t="array" ref="S11">SUMPRODUCT(
  (('Elimination Rounds'!$L$2:$L$49=L11)*
  (('Elimination Rounds'!$P$2:$P$49&gt;P11)+
  ('Elimination Rounds'!$P$2:$P$49=P11)*('Elimination Rounds'!$Q$2:$Q$49&gt;Q11)+
  ('Elimination Rounds'!$P$2:$P$49=P11)*('Elimination Rounds'!$Q$2:$Q$49=Q11)*('Elimination Rounds'!$R$2:$R$49&gt;R11)))
)+1</f>
        <v>2</v>
      </c>
      <c r="U11" t="str">
        <v>Morocco</v>
      </c>
      <c r="V11" t="str">
        <v>C</v>
      </c>
      <c r="W11">
        <v>1</v>
      </c>
      <c r="X11">
        <v>1</v>
      </c>
      <c r="Y11">
        <v>1</v>
      </c>
      <c r="Z11">
        <v>4</v>
      </c>
      <c r="AA11">
        <v>1</v>
      </c>
      <c r="AB11">
        <v>3</v>
      </c>
      <c r="AC11">
        <v>2</v>
      </c>
      <c r="AF11" s="2" t="str">
        <f t="shared" si="23"/>
        <v>Qatar</v>
      </c>
      <c r="AG11" s="3" t="str">
        <f t="shared" si="24"/>
        <v>B</v>
      </c>
      <c r="AH11" s="3">
        <f t="shared" si="25"/>
        <v>0</v>
      </c>
      <c r="AI11" s="3">
        <f t="shared" si="26"/>
        <v>0</v>
      </c>
      <c r="AJ11" s="3">
        <f t="shared" si="27"/>
        <v>3</v>
      </c>
      <c r="AK11" s="3">
        <f t="shared" si="28"/>
        <v>0</v>
      </c>
      <c r="AL11" s="3">
        <f t="shared" si="29"/>
        <v>-4</v>
      </c>
      <c r="AM11" s="3">
        <f t="shared" si="30"/>
        <v>0</v>
      </c>
      <c r="AN11" s="3">
        <f t="shared" si="31"/>
        <v>4</v>
      </c>
      <c r="AP11" s="2" t="str">
        <f t="shared" si="32"/>
        <v>Jordan</v>
      </c>
      <c r="AQ11" s="3" t="str">
        <f t="shared" si="33"/>
        <v>J</v>
      </c>
      <c r="AR11" s="3">
        <f t="shared" si="34"/>
        <v>0</v>
      </c>
      <c r="AS11" s="3">
        <f t="shared" si="35"/>
        <v>0</v>
      </c>
      <c r="AT11" s="3">
        <f t="shared" si="36"/>
        <v>3</v>
      </c>
      <c r="AU11" s="3">
        <f t="shared" si="37"/>
        <v>0</v>
      </c>
      <c r="AV11" s="3">
        <f t="shared" si="38"/>
        <v>-6</v>
      </c>
      <c r="AW11" s="3">
        <f t="shared" si="39"/>
        <v>0</v>
      </c>
      <c r="AX11" s="3">
        <f t="shared" si="40"/>
        <v>4</v>
      </c>
    </row>
    <row r="12" spans="1:50" x14ac:dyDescent="0.3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  <c r="K12" s="2" t="s">
        <v>41</v>
      </c>
      <c r="L12" s="3" t="s">
        <v>38</v>
      </c>
      <c r="M12" cm="1">
        <f t="array" ref="M12">SUMPRODUCT(
  (('Group Stage'!$C$2:$C$73=A12)*('Group Stage'!$E$2:$E$73&gt;'Group Stage'!$F$2:$F$73))+
  (('Group Stage'!$D$2:$D$73=A12)*('Group Stage'!$F$2:$F$73&gt;'Group Stage'!$E$2:$E$73))
)</f>
        <v>1</v>
      </c>
      <c r="N12" cm="1">
        <f t="array" ref="N12">SUMPRODUCT(
  (('Group Stage'!$C$2:$C$73=A12)*('Group Stage'!$E$2:$E$73='Group Stage'!$F$2:$F$73))+
  (('Group Stage'!$D$2:$D$73=A12)*('Group Stage'!$F$2:$F$73='Group Stage'!$E$2:$E$73))
)</f>
        <v>1</v>
      </c>
      <c r="O12" cm="1">
        <f t="array" ref="O12">SUMPRODUCT(
  (('Group Stage'!$C$2:$C$73=A12)*('Group Stage'!$E$2:$E$73&lt;'Group Stage'!$F$2:$F$73))+
  (('Group Stage'!$D$2:$D$73=A12)*('Group Stage'!$F$2:$F$73&lt;'Group Stage'!$E$2:$E$73))
)</f>
        <v>1</v>
      </c>
      <c r="P12" cm="1">
        <f t="array" ref="P12">SUMPRODUCT(
  (('Group Stage'!$C$2:$C$73=A12)*('Group Stage'!$E$2:$E$73&gt;'Group Stage'!$F$2:$F$73))*3+
  (('Group Stage'!$D$2:$D$73=A12)*('Group Stage'!$F$2:$F$73&gt;'Group Stage'!$E$2:$E$73))*3+
  (('Group Stage'!$C$2:$C$73=A12)*('Group Stage'!$E$2:$E$73='Group Stage'!$F$2:$F$73))*1+
  (('Group Stage'!$D$2:$D$73=A12)*('Group Stage'!$F$2:$F$73='Group Stage'!$E$2:$E$73))*1
)</f>
        <v>4</v>
      </c>
      <c r="Q12" cm="1">
        <f t="array" ref="Q12">SUMPRODUCT(
  ('Group Stage'!$C$2:$C$73=A12)*('Group Stage'!$E$2:$E$73-'Group Stage'!$F$2:$F$73)+
  ('Group Stage'!$D$2:$D$73=A12)*('Group Stage'!$F$2:$F$73-'Group Stage'!$E$2:$E$73)
)</f>
        <v>0</v>
      </c>
      <c r="R12" cm="1">
        <f t="array" ref="R12">SUMPRODUCT(
  ('Group Stage'!$C$2:$C$73=A12)*'Group Stage'!$E$2:$E$73+
  ('Group Stage'!$D$2:$D$73=A12)*'Group Stage'!$F$2:$F$73
)</f>
        <v>2</v>
      </c>
      <c r="S12" cm="1">
        <f t="array" ref="S12">SUMPRODUCT(
  (('Elimination Rounds'!$L$2:$L$49=L12)*
  (('Elimination Rounds'!$P$2:$P$49&gt;P12)+
  ('Elimination Rounds'!$P$2:$P$49=P12)*('Elimination Rounds'!$Q$2:$Q$49&gt;Q12)+
  ('Elimination Rounds'!$P$2:$P$49=P12)*('Elimination Rounds'!$Q$2:$Q$49=Q12)*('Elimination Rounds'!$R$2:$R$49&gt;R12)))
)+1</f>
        <v>3</v>
      </c>
      <c r="U12" t="str">
        <v>Scotland</v>
      </c>
      <c r="V12" t="str">
        <v>C</v>
      </c>
      <c r="W12">
        <v>1</v>
      </c>
      <c r="X12">
        <v>1</v>
      </c>
      <c r="Y12">
        <v>1</v>
      </c>
      <c r="Z12">
        <v>4</v>
      </c>
      <c r="AA12">
        <v>0</v>
      </c>
      <c r="AB12">
        <v>2</v>
      </c>
      <c r="AC12">
        <v>3</v>
      </c>
    </row>
    <row r="13" spans="1:50" x14ac:dyDescent="0.3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  <c r="K13" s="2" t="s">
        <v>42</v>
      </c>
      <c r="L13" s="3" t="s">
        <v>38</v>
      </c>
      <c r="M13" cm="1">
        <f t="array" ref="M13">SUMPRODUCT(
  (('Group Stage'!$C$2:$C$73=A13)*('Group Stage'!$E$2:$E$73&gt;'Group Stage'!$F$2:$F$73))+
  (('Group Stage'!$D$2:$D$73=A13)*('Group Stage'!$F$2:$F$73&gt;'Group Stage'!$E$2:$E$73))
)</f>
        <v>0</v>
      </c>
      <c r="N13" cm="1">
        <f t="array" ref="N13">SUMPRODUCT(
  (('Group Stage'!$C$2:$C$73=A13)*('Group Stage'!$E$2:$E$73='Group Stage'!$F$2:$F$73))+
  (('Group Stage'!$D$2:$D$73=A13)*('Group Stage'!$F$2:$F$73='Group Stage'!$E$2:$E$73))
)</f>
        <v>0</v>
      </c>
      <c r="O13" cm="1">
        <f t="array" ref="O13">SUMPRODUCT(
  (('Group Stage'!$C$2:$C$73=A13)*('Group Stage'!$E$2:$E$73&lt;'Group Stage'!$F$2:$F$73))+
  (('Group Stage'!$D$2:$D$73=A13)*('Group Stage'!$F$2:$F$73&lt;'Group Stage'!$E$2:$E$73))
)</f>
        <v>3</v>
      </c>
      <c r="P13" cm="1">
        <f t="array" ref="P13">SUMPRODUCT(
  (('Group Stage'!$C$2:$C$73=A13)*('Group Stage'!$E$2:$E$73&gt;'Group Stage'!$F$2:$F$73))*3+
  (('Group Stage'!$D$2:$D$73=A13)*('Group Stage'!$F$2:$F$73&gt;'Group Stage'!$E$2:$E$73))*3+
  (('Group Stage'!$C$2:$C$73=A13)*('Group Stage'!$E$2:$E$73='Group Stage'!$F$2:$F$73))*1+
  (('Group Stage'!$D$2:$D$73=A13)*('Group Stage'!$F$2:$F$73='Group Stage'!$E$2:$E$73))*1
)</f>
        <v>0</v>
      </c>
      <c r="Q13" cm="1">
        <f t="array" ref="Q13">SUMPRODUCT(
  ('Group Stage'!$C$2:$C$73=A13)*('Group Stage'!$E$2:$E$73-'Group Stage'!$F$2:$F$73)+
  ('Group Stage'!$D$2:$D$73=A13)*('Group Stage'!$F$2:$F$73-'Group Stage'!$E$2:$E$73)
)</f>
        <v>-6</v>
      </c>
      <c r="R13" cm="1">
        <f t="array" ref="R13">SUMPRODUCT(
  ('Group Stage'!$C$2:$C$73=A13)*'Group Stage'!$E$2:$E$73+
  ('Group Stage'!$D$2:$D$73=A13)*'Group Stage'!$F$2:$F$73
)</f>
        <v>0</v>
      </c>
      <c r="S13" cm="1">
        <f t="array" ref="S13">SUMPRODUCT(
  (('Elimination Rounds'!$L$2:$L$49=L13)*
  (('Elimination Rounds'!$P$2:$P$49&gt;P13)+
  ('Elimination Rounds'!$P$2:$P$49=P13)*('Elimination Rounds'!$Q$2:$Q$49&gt;Q13)+
  ('Elimination Rounds'!$P$2:$P$49=P13)*('Elimination Rounds'!$Q$2:$Q$49=Q13)*('Elimination Rounds'!$R$2:$R$49&gt;R13)))
)+1</f>
        <v>4</v>
      </c>
      <c r="U13" t="str">
        <v>Haiti</v>
      </c>
      <c r="V13" t="str">
        <v>C</v>
      </c>
      <c r="W13">
        <v>0</v>
      </c>
      <c r="X13">
        <v>0</v>
      </c>
      <c r="Y13">
        <v>3</v>
      </c>
      <c r="Z13">
        <v>0</v>
      </c>
      <c r="AA13">
        <v>-6</v>
      </c>
      <c r="AB13">
        <v>0</v>
      </c>
      <c r="AC13">
        <v>4</v>
      </c>
      <c r="AF13" s="1" t="s">
        <v>88</v>
      </c>
      <c r="AG13" s="1" t="s">
        <v>89</v>
      </c>
      <c r="AH13" s="18" t="s">
        <v>113</v>
      </c>
      <c r="AI13" s="18" t="s">
        <v>43</v>
      </c>
      <c r="AJ13" s="18" t="s">
        <v>83</v>
      </c>
      <c r="AK13" s="18" t="s">
        <v>114</v>
      </c>
      <c r="AL13" s="18" t="s">
        <v>115</v>
      </c>
      <c r="AM13" s="18" t="s">
        <v>117</v>
      </c>
      <c r="AN13" s="18" t="s">
        <v>116</v>
      </c>
      <c r="AP13" s="1" t="s">
        <v>88</v>
      </c>
      <c r="AQ13" s="1" t="s">
        <v>89</v>
      </c>
      <c r="AR13" s="18" t="s">
        <v>113</v>
      </c>
      <c r="AS13" s="18" t="s">
        <v>43</v>
      </c>
      <c r="AT13" s="18" t="s">
        <v>83</v>
      </c>
      <c r="AU13" s="18" t="s">
        <v>114</v>
      </c>
      <c r="AV13" s="18" t="s">
        <v>115</v>
      </c>
      <c r="AW13" s="18" t="s">
        <v>117</v>
      </c>
      <c r="AX13" s="18" t="s">
        <v>116</v>
      </c>
    </row>
    <row r="14" spans="1:50" x14ac:dyDescent="0.35">
      <c r="A14" s="2" t="s">
        <v>44</v>
      </c>
      <c r="B14" s="3" t="str">
        <f t="shared" si="0"/>
        <v>D2</v>
      </c>
      <c r="C14" s="3" t="s">
        <v>43</v>
      </c>
      <c r="D14" s="10">
        <v>2</v>
      </c>
      <c r="E14" s="10">
        <v>1</v>
      </c>
      <c r="F14" s="10"/>
      <c r="G14" s="10"/>
      <c r="H14" s="10"/>
      <c r="I14" s="10"/>
      <c r="K14" s="2" t="s">
        <v>44</v>
      </c>
      <c r="L14" s="3" t="s">
        <v>43</v>
      </c>
      <c r="M14" cm="1">
        <f t="array" ref="M14">SUMPRODUCT(
  (('Group Stage'!$C$2:$C$73=A14)*('Group Stage'!$E$2:$E$73&gt;'Group Stage'!$F$2:$F$73))+
  (('Group Stage'!$D$2:$D$73=A14)*('Group Stage'!$F$2:$F$73&gt;'Group Stage'!$E$2:$E$73))
)</f>
        <v>1</v>
      </c>
      <c r="N14" cm="1">
        <f t="array" ref="N14">SUMPRODUCT(
  (('Group Stage'!$C$2:$C$73=A14)*('Group Stage'!$E$2:$E$73='Group Stage'!$F$2:$F$73))+
  (('Group Stage'!$D$2:$D$73=A14)*('Group Stage'!$F$2:$F$73='Group Stage'!$E$2:$E$73))
)</f>
        <v>2</v>
      </c>
      <c r="O14" cm="1">
        <f t="array" ref="O14">SUMPRODUCT(
  (('Group Stage'!$C$2:$C$73=A14)*('Group Stage'!$E$2:$E$73&lt;'Group Stage'!$F$2:$F$73))+
  (('Group Stage'!$D$2:$D$73=A14)*('Group Stage'!$F$2:$F$73&lt;'Group Stage'!$E$2:$E$73))
)</f>
        <v>0</v>
      </c>
      <c r="P14" cm="1">
        <f t="array" ref="P14">SUMPRODUCT(
  (('Group Stage'!$C$2:$C$73=A14)*('Group Stage'!$E$2:$E$73&gt;'Group Stage'!$F$2:$F$73))*3+
  (('Group Stage'!$D$2:$D$73=A14)*('Group Stage'!$F$2:$F$73&gt;'Group Stage'!$E$2:$E$73))*3+
  (('Group Stage'!$C$2:$C$73=A14)*('Group Stage'!$E$2:$E$73='Group Stage'!$F$2:$F$73))*1+
  (('Group Stage'!$D$2:$D$73=A14)*('Group Stage'!$F$2:$F$73='Group Stage'!$E$2:$E$73))*1
)</f>
        <v>5</v>
      </c>
      <c r="Q14" cm="1">
        <f t="array" ref="Q14">SUMPRODUCT(
  ('Group Stage'!$C$2:$C$73=A14)*('Group Stage'!$E$2:$E$73-'Group Stage'!$F$2:$F$73)+
  ('Group Stage'!$D$2:$D$73=A14)*('Group Stage'!$F$2:$F$73-'Group Stage'!$E$2:$E$73)
)</f>
        <v>1</v>
      </c>
      <c r="R14" cm="1">
        <f t="array" ref="R14">SUMPRODUCT(
  ('Group Stage'!$C$2:$C$73=A14)*'Group Stage'!$E$2:$E$73+
  ('Group Stage'!$D$2:$D$73=A14)*'Group Stage'!$F$2:$F$73
)</f>
        <v>2</v>
      </c>
      <c r="S14" cm="1">
        <f t="array" ref="S14">SUMPRODUCT(
  (('Elimination Rounds'!$L$2:$L$49=L14)*
  (('Elimination Rounds'!$P$2:$P$49&gt;P14)+
  ('Elimination Rounds'!$P$2:$P$49=P14)*('Elimination Rounds'!$Q$2:$Q$49&gt;Q14)+
  ('Elimination Rounds'!$P$2:$P$49=P14)*('Elimination Rounds'!$Q$2:$Q$49=Q14)*('Elimination Rounds'!$R$2:$R$49&gt;R14)))
)+1</f>
        <v>2</v>
      </c>
      <c r="U14" t="str">
        <v>Turkiye</v>
      </c>
      <c r="V14" t="str">
        <v>D</v>
      </c>
      <c r="W14">
        <v>2</v>
      </c>
      <c r="X14">
        <v>1</v>
      </c>
      <c r="Y14">
        <v>0</v>
      </c>
      <c r="Z14">
        <v>7</v>
      </c>
      <c r="AA14">
        <v>2</v>
      </c>
      <c r="AB14">
        <v>2</v>
      </c>
      <c r="AC14">
        <v>1</v>
      </c>
      <c r="AF14" s="2" t="str">
        <f>U10</f>
        <v>Brazil</v>
      </c>
      <c r="AG14" s="3" t="str">
        <f t="shared" ref="AG14:AN14" si="41">V10</f>
        <v>C</v>
      </c>
      <c r="AH14" s="3">
        <f t="shared" si="41"/>
        <v>3</v>
      </c>
      <c r="AI14" s="3">
        <f t="shared" si="41"/>
        <v>0</v>
      </c>
      <c r="AJ14" s="3">
        <f t="shared" si="41"/>
        <v>0</v>
      </c>
      <c r="AK14" s="3">
        <f t="shared" si="41"/>
        <v>9</v>
      </c>
      <c r="AL14" s="3">
        <f t="shared" si="41"/>
        <v>5</v>
      </c>
      <c r="AM14" s="3">
        <f t="shared" si="41"/>
        <v>5</v>
      </c>
      <c r="AN14" s="3">
        <f t="shared" si="41"/>
        <v>1</v>
      </c>
      <c r="AP14" s="2" t="str">
        <f>U42</f>
        <v>Portugal</v>
      </c>
      <c r="AQ14" s="3" t="str">
        <f t="shared" ref="AQ14:AX14" si="42">V42</f>
        <v>K</v>
      </c>
      <c r="AR14" s="3">
        <f t="shared" si="42"/>
        <v>3</v>
      </c>
      <c r="AS14" s="3">
        <f t="shared" si="42"/>
        <v>0</v>
      </c>
      <c r="AT14" s="3">
        <f t="shared" si="42"/>
        <v>0</v>
      </c>
      <c r="AU14" s="3">
        <f t="shared" si="42"/>
        <v>9</v>
      </c>
      <c r="AV14" s="3">
        <f t="shared" si="42"/>
        <v>8</v>
      </c>
      <c r="AW14" s="3">
        <f t="shared" si="42"/>
        <v>8</v>
      </c>
      <c r="AX14" s="3">
        <f t="shared" si="42"/>
        <v>1</v>
      </c>
    </row>
    <row r="15" spans="1:50" x14ac:dyDescent="0.35">
      <c r="A15" s="2" t="s">
        <v>45</v>
      </c>
      <c r="B15" s="3" t="str">
        <f t="shared" si="0"/>
        <v>D4</v>
      </c>
      <c r="C15" s="3" t="s">
        <v>43</v>
      </c>
      <c r="D15" s="10">
        <v>4</v>
      </c>
      <c r="E15" s="10"/>
      <c r="F15" s="10"/>
      <c r="G15" s="10"/>
      <c r="H15" s="10"/>
      <c r="I15" s="10"/>
      <c r="K15" s="2" t="s">
        <v>45</v>
      </c>
      <c r="L15" s="3" t="s">
        <v>43</v>
      </c>
      <c r="M15" cm="1">
        <f t="array" ref="M15">SUMPRODUCT(
  (('Group Stage'!$C$2:$C$73=A15)*('Group Stage'!$E$2:$E$73&gt;'Group Stage'!$F$2:$F$73))+
  (('Group Stage'!$D$2:$D$73=A15)*('Group Stage'!$F$2:$F$73&gt;'Group Stage'!$E$2:$E$73))
)</f>
        <v>0</v>
      </c>
      <c r="N15" cm="1">
        <f t="array" ref="N15">SUMPRODUCT(
  (('Group Stage'!$C$2:$C$73=A15)*('Group Stage'!$E$2:$E$73='Group Stage'!$F$2:$F$73))+
  (('Group Stage'!$D$2:$D$73=A15)*('Group Stage'!$F$2:$F$73='Group Stage'!$E$2:$E$73))
)</f>
        <v>1</v>
      </c>
      <c r="O15" cm="1">
        <f t="array" ref="O15">SUMPRODUCT(
  (('Group Stage'!$C$2:$C$73=A15)*('Group Stage'!$E$2:$E$73&lt;'Group Stage'!$F$2:$F$73))+
  (('Group Stage'!$D$2:$D$73=A15)*('Group Stage'!$F$2:$F$73&lt;'Group Stage'!$E$2:$E$73))
)</f>
        <v>2</v>
      </c>
      <c r="P15" cm="1">
        <f t="array" ref="P15">SUMPRODUCT(
  (('Group Stage'!$C$2:$C$73=A15)*('Group Stage'!$E$2:$E$73&gt;'Group Stage'!$F$2:$F$73))*3+
  (('Group Stage'!$D$2:$D$73=A15)*('Group Stage'!$F$2:$F$73&gt;'Group Stage'!$E$2:$E$73))*3+
  (('Group Stage'!$C$2:$C$73=A15)*('Group Stage'!$E$2:$E$73='Group Stage'!$F$2:$F$73))*1+
  (('Group Stage'!$D$2:$D$73=A15)*('Group Stage'!$F$2:$F$73='Group Stage'!$E$2:$E$73))*1
)</f>
        <v>1</v>
      </c>
      <c r="Q15" cm="1">
        <f t="array" ref="Q15">SUMPRODUCT(
  ('Group Stage'!$C$2:$C$73=A15)*('Group Stage'!$E$2:$E$73-'Group Stage'!$F$2:$F$73)+
  ('Group Stage'!$D$2:$D$73=A15)*('Group Stage'!$F$2:$F$73-'Group Stage'!$E$2:$E$73)
)</f>
        <v>-2</v>
      </c>
      <c r="R15" cm="1">
        <f t="array" ref="R15">SUMPRODUCT(
  ('Group Stage'!$C$2:$C$73=A15)*'Group Stage'!$E$2:$E$73+
  ('Group Stage'!$D$2:$D$73=A15)*'Group Stage'!$F$2:$F$73
)</f>
        <v>1</v>
      </c>
      <c r="S15" cm="1">
        <f t="array" ref="S15">SUMPRODUCT(
  (('Elimination Rounds'!$L$2:$L$49=L15)*
  (('Elimination Rounds'!$P$2:$P$49&gt;P15)+
  ('Elimination Rounds'!$P$2:$P$49=P15)*('Elimination Rounds'!$Q$2:$Q$49&gt;Q15)+
  ('Elimination Rounds'!$P$2:$P$49=P15)*('Elimination Rounds'!$Q$2:$Q$49=Q15)*('Elimination Rounds'!$R$2:$R$49&gt;R15)))
)+1</f>
        <v>4</v>
      </c>
      <c r="U15" t="str">
        <v>USA</v>
      </c>
      <c r="V15" t="str">
        <v>D</v>
      </c>
      <c r="W15">
        <v>1</v>
      </c>
      <c r="X15">
        <v>2</v>
      </c>
      <c r="Y15">
        <v>0</v>
      </c>
      <c r="Z15">
        <v>5</v>
      </c>
      <c r="AA15">
        <v>1</v>
      </c>
      <c r="AB15">
        <v>2</v>
      </c>
      <c r="AC15">
        <v>2</v>
      </c>
      <c r="AF15" s="2" t="str">
        <f t="shared" ref="AF15:AF17" si="43">U11</f>
        <v>Morocco</v>
      </c>
      <c r="AG15" s="3" t="str">
        <f t="shared" ref="AG15:AG17" si="44">V11</f>
        <v>C</v>
      </c>
      <c r="AH15" s="3">
        <f t="shared" ref="AH15:AH17" si="45">W11</f>
        <v>1</v>
      </c>
      <c r="AI15" s="3">
        <f t="shared" ref="AI15:AI17" si="46">X11</f>
        <v>1</v>
      </c>
      <c r="AJ15" s="3">
        <f t="shared" ref="AJ15:AJ17" si="47">Y11</f>
        <v>1</v>
      </c>
      <c r="AK15" s="3">
        <f t="shared" ref="AK15:AK17" si="48">Z11</f>
        <v>4</v>
      </c>
      <c r="AL15" s="3">
        <f t="shared" ref="AL15:AL17" si="49">AA11</f>
        <v>1</v>
      </c>
      <c r="AM15" s="3">
        <f t="shared" ref="AM15:AM17" si="50">AB11</f>
        <v>3</v>
      </c>
      <c r="AN15" s="3">
        <f t="shared" ref="AN15:AN17" si="51">AC11</f>
        <v>2</v>
      </c>
      <c r="AP15" s="2" t="str">
        <f t="shared" ref="AP15:AP17" si="52">U43</f>
        <v>Colombia</v>
      </c>
      <c r="AQ15" s="3" t="str">
        <f t="shared" ref="AQ15:AQ17" si="53">V43</f>
        <v>K</v>
      </c>
      <c r="AR15" s="3">
        <f t="shared" ref="AR15:AR17" si="54">W43</f>
        <v>2</v>
      </c>
      <c r="AS15" s="3">
        <f t="shared" ref="AS15:AS17" si="55">X43</f>
        <v>0</v>
      </c>
      <c r="AT15" s="3">
        <f t="shared" ref="AT15:AT17" si="56">Y43</f>
        <v>1</v>
      </c>
      <c r="AU15" s="3">
        <f t="shared" ref="AU15:AU17" si="57">Z43</f>
        <v>6</v>
      </c>
      <c r="AV15" s="3">
        <f t="shared" ref="AV15:AV17" si="58">AA43</f>
        <v>2</v>
      </c>
      <c r="AW15" s="3">
        <f t="shared" ref="AW15:AW17" si="59">AB43</f>
        <v>4</v>
      </c>
      <c r="AX15" s="3">
        <f t="shared" ref="AX15:AX17" si="60">AC43</f>
        <v>2</v>
      </c>
    </row>
    <row r="16" spans="1:50" x14ac:dyDescent="0.35">
      <c r="A16" s="2" t="s">
        <v>46</v>
      </c>
      <c r="B16" s="3" t="str">
        <f t="shared" si="0"/>
        <v>D3</v>
      </c>
      <c r="C16" s="3" t="s">
        <v>43</v>
      </c>
      <c r="D16" s="10">
        <v>3</v>
      </c>
      <c r="E16" s="10"/>
      <c r="F16" s="10"/>
      <c r="G16" s="10"/>
      <c r="H16" s="10"/>
      <c r="I16" s="10"/>
      <c r="K16" s="2" t="s">
        <v>46</v>
      </c>
      <c r="L16" s="3" t="s">
        <v>43</v>
      </c>
      <c r="M16" cm="1">
        <f t="array" ref="M16">SUMPRODUCT(
  (('Group Stage'!$C$2:$C$73=A16)*('Group Stage'!$E$2:$E$73&gt;'Group Stage'!$F$2:$F$73))+
  (('Group Stage'!$D$2:$D$73=A16)*('Group Stage'!$F$2:$F$73&gt;'Group Stage'!$E$2:$E$73))
)</f>
        <v>0</v>
      </c>
      <c r="N16" cm="1">
        <f t="array" ref="N16">SUMPRODUCT(
  (('Group Stage'!$C$2:$C$73=A16)*('Group Stage'!$E$2:$E$73='Group Stage'!$F$2:$F$73))+
  (('Group Stage'!$D$2:$D$73=A16)*('Group Stage'!$F$2:$F$73='Group Stage'!$E$2:$E$73))
)</f>
        <v>2</v>
      </c>
      <c r="O16" cm="1">
        <f t="array" ref="O16">SUMPRODUCT(
  (('Group Stage'!$C$2:$C$73=A16)*('Group Stage'!$E$2:$E$73&lt;'Group Stage'!$F$2:$F$73))+
  (('Group Stage'!$D$2:$D$73=A16)*('Group Stage'!$F$2:$F$73&lt;'Group Stage'!$E$2:$E$73))
)</f>
        <v>1</v>
      </c>
      <c r="P16" cm="1">
        <f t="array" ref="P16">SUMPRODUCT(
  (('Group Stage'!$C$2:$C$73=A16)*('Group Stage'!$E$2:$E$73&gt;'Group Stage'!$F$2:$F$73))*3+
  (('Group Stage'!$D$2:$D$73=A16)*('Group Stage'!$F$2:$F$73&gt;'Group Stage'!$E$2:$E$73))*3+
  (('Group Stage'!$C$2:$C$73=A16)*('Group Stage'!$E$2:$E$73='Group Stage'!$F$2:$F$73))*1+
  (('Group Stage'!$D$2:$D$73=A16)*('Group Stage'!$F$2:$F$73='Group Stage'!$E$2:$E$73))*1
)</f>
        <v>2</v>
      </c>
      <c r="Q16" cm="1">
        <f t="array" ref="Q16">SUMPRODUCT(
  ('Group Stage'!$C$2:$C$73=A16)*('Group Stage'!$E$2:$E$73-'Group Stage'!$F$2:$F$73)+
  ('Group Stage'!$D$2:$D$73=A16)*('Group Stage'!$F$2:$F$73-'Group Stage'!$E$2:$E$73)
)</f>
        <v>-1</v>
      </c>
      <c r="R16" cm="1">
        <f t="array" ref="R16">SUMPRODUCT(
  ('Group Stage'!$C$2:$C$73=A16)*'Group Stage'!$E$2:$E$73+
  ('Group Stage'!$D$2:$D$73=A16)*'Group Stage'!$F$2:$F$73
)</f>
        <v>2</v>
      </c>
      <c r="S16" cm="1">
        <f t="array" ref="S16">SUMPRODUCT(
  (('Elimination Rounds'!$L$2:$L$49=L16)*
  (('Elimination Rounds'!$P$2:$P$49&gt;P16)+
  ('Elimination Rounds'!$P$2:$P$49=P16)*('Elimination Rounds'!$Q$2:$Q$49&gt;Q16)+
  ('Elimination Rounds'!$P$2:$P$49=P16)*('Elimination Rounds'!$Q$2:$Q$49=Q16)*('Elimination Rounds'!$R$2:$R$49&gt;R16)))
)+1</f>
        <v>3</v>
      </c>
      <c r="U16" t="str">
        <v>Australia</v>
      </c>
      <c r="V16" t="str">
        <v>D</v>
      </c>
      <c r="W16">
        <v>0</v>
      </c>
      <c r="X16">
        <v>2</v>
      </c>
      <c r="Y16">
        <v>1</v>
      </c>
      <c r="Z16">
        <v>2</v>
      </c>
      <c r="AA16">
        <v>-1</v>
      </c>
      <c r="AB16">
        <v>2</v>
      </c>
      <c r="AC16">
        <v>3</v>
      </c>
      <c r="AF16" s="2" t="str">
        <f t="shared" si="43"/>
        <v>Scotland</v>
      </c>
      <c r="AG16" s="3" t="str">
        <f t="shared" si="44"/>
        <v>C</v>
      </c>
      <c r="AH16" s="3">
        <f t="shared" si="45"/>
        <v>1</v>
      </c>
      <c r="AI16" s="3">
        <f t="shared" si="46"/>
        <v>1</v>
      </c>
      <c r="AJ16" s="3">
        <f t="shared" si="47"/>
        <v>1</v>
      </c>
      <c r="AK16" s="3">
        <f t="shared" si="48"/>
        <v>4</v>
      </c>
      <c r="AL16" s="3">
        <f t="shared" si="49"/>
        <v>0</v>
      </c>
      <c r="AM16" s="3">
        <f t="shared" si="50"/>
        <v>2</v>
      </c>
      <c r="AN16" s="3">
        <f t="shared" si="51"/>
        <v>3</v>
      </c>
      <c r="AP16" s="2" t="str">
        <f t="shared" si="52"/>
        <v>DR Congo</v>
      </c>
      <c r="AQ16" s="3" t="str">
        <f t="shared" si="53"/>
        <v>K</v>
      </c>
      <c r="AR16" s="3">
        <f t="shared" si="54"/>
        <v>0</v>
      </c>
      <c r="AS16" s="3">
        <f t="shared" si="55"/>
        <v>1</v>
      </c>
      <c r="AT16" s="3">
        <f t="shared" si="56"/>
        <v>2</v>
      </c>
      <c r="AU16" s="3">
        <f t="shared" si="57"/>
        <v>1</v>
      </c>
      <c r="AV16" s="3">
        <f t="shared" si="58"/>
        <v>-4</v>
      </c>
      <c r="AW16" s="3">
        <f t="shared" si="59"/>
        <v>0</v>
      </c>
      <c r="AX16" s="3">
        <f t="shared" si="60"/>
        <v>3</v>
      </c>
    </row>
    <row r="17" spans="1:50" x14ac:dyDescent="0.35">
      <c r="A17" s="2" t="s">
        <v>47</v>
      </c>
      <c r="B17" s="3" t="str">
        <f t="shared" si="0"/>
        <v>D1</v>
      </c>
      <c r="C17" s="3" t="s">
        <v>43</v>
      </c>
      <c r="D17" s="10">
        <v>1</v>
      </c>
      <c r="E17" s="10">
        <v>1</v>
      </c>
      <c r="F17" s="10"/>
      <c r="G17" s="10"/>
      <c r="H17" s="10"/>
      <c r="I17" s="10"/>
      <c r="K17" s="2" t="s">
        <v>47</v>
      </c>
      <c r="L17" s="3" t="s">
        <v>43</v>
      </c>
      <c r="M17" cm="1">
        <f t="array" ref="M17">SUMPRODUCT(
  (('Group Stage'!$C$2:$C$73=A17)*('Group Stage'!$E$2:$E$73&gt;'Group Stage'!$F$2:$F$73))+
  (('Group Stage'!$D$2:$D$73=A17)*('Group Stage'!$F$2:$F$73&gt;'Group Stage'!$E$2:$E$73))
)</f>
        <v>2</v>
      </c>
      <c r="N17" cm="1">
        <f t="array" ref="N17">SUMPRODUCT(
  (('Group Stage'!$C$2:$C$73=A17)*('Group Stage'!$E$2:$E$73='Group Stage'!$F$2:$F$73))+
  (('Group Stage'!$D$2:$D$73=A17)*('Group Stage'!$F$2:$F$73='Group Stage'!$E$2:$E$73))
)</f>
        <v>1</v>
      </c>
      <c r="O17" cm="1">
        <f t="array" ref="O17">SUMPRODUCT(
  (('Group Stage'!$C$2:$C$73=A17)*('Group Stage'!$E$2:$E$73&lt;'Group Stage'!$F$2:$F$73))+
  (('Group Stage'!$D$2:$D$73=A17)*('Group Stage'!$F$2:$F$73&lt;'Group Stage'!$E$2:$E$73))
)</f>
        <v>0</v>
      </c>
      <c r="P17" cm="1">
        <f t="array" ref="P17">SUMPRODUCT(
  (('Group Stage'!$C$2:$C$73=A17)*('Group Stage'!$E$2:$E$73&gt;'Group Stage'!$F$2:$F$73))*3+
  (('Group Stage'!$D$2:$D$73=A17)*('Group Stage'!$F$2:$F$73&gt;'Group Stage'!$E$2:$E$73))*3+
  (('Group Stage'!$C$2:$C$73=A17)*('Group Stage'!$E$2:$E$73='Group Stage'!$F$2:$F$73))*1+
  (('Group Stage'!$D$2:$D$73=A17)*('Group Stage'!$F$2:$F$73='Group Stage'!$E$2:$E$73))*1
)</f>
        <v>7</v>
      </c>
      <c r="Q17" cm="1">
        <f t="array" ref="Q17">SUMPRODUCT(
  ('Group Stage'!$C$2:$C$73=A17)*('Group Stage'!$E$2:$E$73-'Group Stage'!$F$2:$F$73)+
  ('Group Stage'!$D$2:$D$73=A17)*('Group Stage'!$F$2:$F$73-'Group Stage'!$E$2:$E$73)
)</f>
        <v>2</v>
      </c>
      <c r="R17" cm="1">
        <f t="array" ref="R17">SUMPRODUCT(
  ('Group Stage'!$C$2:$C$73=A17)*'Group Stage'!$E$2:$E$73+
  ('Group Stage'!$D$2:$D$73=A17)*'Group Stage'!$F$2:$F$73
)</f>
        <v>2</v>
      </c>
      <c r="S17" cm="1">
        <f t="array" ref="S17">SUMPRODUCT(
  (('Elimination Rounds'!$L$2:$L$49=L17)*
  (('Elimination Rounds'!$P$2:$P$49&gt;P17)+
  ('Elimination Rounds'!$P$2:$P$49=P17)*('Elimination Rounds'!$Q$2:$Q$49&gt;Q17)+
  ('Elimination Rounds'!$P$2:$P$49=P17)*('Elimination Rounds'!$Q$2:$Q$49=Q17)*('Elimination Rounds'!$R$2:$R$49&gt;R17)))
)+1</f>
        <v>1</v>
      </c>
      <c r="U17" t="str">
        <v>Paraguay</v>
      </c>
      <c r="V17" t="str">
        <v>D</v>
      </c>
      <c r="W17">
        <v>0</v>
      </c>
      <c r="X17">
        <v>1</v>
      </c>
      <c r="Y17">
        <v>2</v>
      </c>
      <c r="Z17">
        <v>1</v>
      </c>
      <c r="AA17">
        <v>-2</v>
      </c>
      <c r="AB17">
        <v>1</v>
      </c>
      <c r="AC17">
        <v>4</v>
      </c>
      <c r="AF17" s="2" t="str">
        <f t="shared" si="43"/>
        <v>Haiti</v>
      </c>
      <c r="AG17" s="3" t="str">
        <f t="shared" si="44"/>
        <v>C</v>
      </c>
      <c r="AH17" s="3">
        <f t="shared" si="45"/>
        <v>0</v>
      </c>
      <c r="AI17" s="3">
        <f t="shared" si="46"/>
        <v>0</v>
      </c>
      <c r="AJ17" s="3">
        <f t="shared" si="47"/>
        <v>3</v>
      </c>
      <c r="AK17" s="3">
        <f t="shared" si="48"/>
        <v>0</v>
      </c>
      <c r="AL17" s="3">
        <f t="shared" si="49"/>
        <v>-6</v>
      </c>
      <c r="AM17" s="3">
        <f t="shared" si="50"/>
        <v>0</v>
      </c>
      <c r="AN17" s="3">
        <f t="shared" si="51"/>
        <v>4</v>
      </c>
      <c r="AP17" s="2" t="str">
        <f t="shared" si="52"/>
        <v>Uzbekistan</v>
      </c>
      <c r="AQ17" s="3" t="str">
        <f t="shared" si="53"/>
        <v>K</v>
      </c>
      <c r="AR17" s="3">
        <f t="shared" si="54"/>
        <v>0</v>
      </c>
      <c r="AS17" s="3">
        <f t="shared" si="55"/>
        <v>1</v>
      </c>
      <c r="AT17" s="3">
        <f t="shared" si="56"/>
        <v>2</v>
      </c>
      <c r="AU17" s="3">
        <f t="shared" si="57"/>
        <v>1</v>
      </c>
      <c r="AV17" s="3">
        <f t="shared" si="58"/>
        <v>-6</v>
      </c>
      <c r="AW17" s="3">
        <f t="shared" si="59"/>
        <v>0</v>
      </c>
      <c r="AX17" s="3">
        <f t="shared" si="60"/>
        <v>4</v>
      </c>
    </row>
    <row r="18" spans="1:50" x14ac:dyDescent="0.3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/>
      <c r="G18" s="10"/>
      <c r="H18" s="10"/>
      <c r="I18" s="10"/>
      <c r="K18" s="2" t="s">
        <v>49</v>
      </c>
      <c r="L18" s="3" t="s">
        <v>48</v>
      </c>
      <c r="M18" cm="1">
        <f t="array" ref="M18">SUMPRODUCT(
  (('Group Stage'!$C$2:$C$73=A18)*('Group Stage'!$E$2:$E$73&gt;'Group Stage'!$F$2:$F$73))+
  (('Group Stage'!$D$2:$D$73=A18)*('Group Stage'!$F$2:$F$73&gt;'Group Stage'!$E$2:$E$73))
)</f>
        <v>3</v>
      </c>
      <c r="N18" cm="1">
        <f t="array" ref="N18">SUMPRODUCT(
  (('Group Stage'!$C$2:$C$73=A18)*('Group Stage'!$E$2:$E$73='Group Stage'!$F$2:$F$73))+
  (('Group Stage'!$D$2:$D$73=A18)*('Group Stage'!$F$2:$F$73='Group Stage'!$E$2:$E$73))
)</f>
        <v>0</v>
      </c>
      <c r="O18" cm="1">
        <f t="array" ref="O18">SUMPRODUCT(
  (('Group Stage'!$C$2:$C$73=A18)*('Group Stage'!$E$2:$E$73&lt;'Group Stage'!$F$2:$F$73))+
  (('Group Stage'!$D$2:$D$73=A18)*('Group Stage'!$F$2:$F$73&lt;'Group Stage'!$E$2:$E$73))
)</f>
        <v>0</v>
      </c>
      <c r="P18" cm="1">
        <f t="array" ref="P18">SUMPRODUCT(
  (('Group Stage'!$C$2:$C$73=A18)*('Group Stage'!$E$2:$E$73&gt;'Group Stage'!$F$2:$F$73))*3+
  (('Group Stage'!$D$2:$D$73=A18)*('Group Stage'!$F$2:$F$73&gt;'Group Stage'!$E$2:$E$73))*3+
  (('Group Stage'!$C$2:$C$73=A18)*('Group Stage'!$E$2:$E$73='Group Stage'!$F$2:$F$73))*1+
  (('Group Stage'!$D$2:$D$73=A18)*('Group Stage'!$F$2:$F$73='Group Stage'!$E$2:$E$73))*1
)</f>
        <v>9</v>
      </c>
      <c r="Q18" cm="1">
        <f t="array" ref="Q18">SUMPRODUCT(
  ('Group Stage'!$C$2:$C$73=A18)*('Group Stage'!$E$2:$E$73-'Group Stage'!$F$2:$F$73)+
  ('Group Stage'!$D$2:$D$73=A18)*('Group Stage'!$F$2:$F$73-'Group Stage'!$E$2:$E$73)
)</f>
        <v>5</v>
      </c>
      <c r="R18" cm="1">
        <f t="array" ref="R18">SUMPRODUCT(
  ('Group Stage'!$C$2:$C$73=A18)*'Group Stage'!$E$2:$E$73+
  ('Group Stage'!$D$2:$D$73=A18)*'Group Stage'!$F$2:$F$73
)</f>
        <v>5</v>
      </c>
      <c r="S18" cm="1">
        <f t="array" ref="S18">SUMPRODUCT(
  (('Elimination Rounds'!$L$2:$L$49=L18)*
  (('Elimination Rounds'!$P$2:$P$49&gt;P18)+
  ('Elimination Rounds'!$P$2:$P$49=P18)*('Elimination Rounds'!$Q$2:$Q$49&gt;Q18)+
  ('Elimination Rounds'!$P$2:$P$49=P18)*('Elimination Rounds'!$Q$2:$Q$49=Q18)*('Elimination Rounds'!$R$2:$R$49&gt;R18)))
)+1</f>
        <v>1</v>
      </c>
      <c r="U18" t="str">
        <v>Germany</v>
      </c>
      <c r="V18" t="str">
        <v>E</v>
      </c>
      <c r="W18">
        <v>3</v>
      </c>
      <c r="X18">
        <v>0</v>
      </c>
      <c r="Y18">
        <v>0</v>
      </c>
      <c r="Z18">
        <v>9</v>
      </c>
      <c r="AA18">
        <v>5</v>
      </c>
      <c r="AB18">
        <v>5</v>
      </c>
      <c r="AC18">
        <v>1</v>
      </c>
    </row>
    <row r="19" spans="1:50" x14ac:dyDescent="0.35">
      <c r="A19" s="2" t="s">
        <v>50</v>
      </c>
      <c r="B19" s="3" t="str">
        <f t="shared" si="0"/>
        <v>E2</v>
      </c>
      <c r="C19" s="3" t="s">
        <v>48</v>
      </c>
      <c r="D19" s="10">
        <v>2</v>
      </c>
      <c r="E19" s="10"/>
      <c r="F19" s="10"/>
      <c r="G19" s="10"/>
      <c r="H19" s="10"/>
      <c r="I19" s="10"/>
      <c r="K19" s="2" t="s">
        <v>50</v>
      </c>
      <c r="L19" s="3" t="s">
        <v>48</v>
      </c>
      <c r="M19" cm="1">
        <f t="array" ref="M19">SUMPRODUCT(
  (('Group Stage'!$C$2:$C$73=A19)*('Group Stage'!$E$2:$E$73&gt;'Group Stage'!$F$2:$F$73))+
  (('Group Stage'!$D$2:$D$73=A19)*('Group Stage'!$F$2:$F$73&gt;'Group Stage'!$E$2:$E$73))
)</f>
        <v>1</v>
      </c>
      <c r="N19" cm="1">
        <f t="array" ref="N19">SUMPRODUCT(
  (('Group Stage'!$C$2:$C$73=A19)*('Group Stage'!$E$2:$E$73='Group Stage'!$F$2:$F$73))+
  (('Group Stage'!$D$2:$D$73=A19)*('Group Stage'!$F$2:$F$73='Group Stage'!$E$2:$E$73))
)</f>
        <v>1</v>
      </c>
      <c r="O19" cm="1">
        <f t="array" ref="O19">SUMPRODUCT(
  (('Group Stage'!$C$2:$C$73=A19)*('Group Stage'!$E$2:$E$73&lt;'Group Stage'!$F$2:$F$73))+
  (('Group Stage'!$D$2:$D$73=A19)*('Group Stage'!$F$2:$F$73&lt;'Group Stage'!$E$2:$E$73))
)</f>
        <v>1</v>
      </c>
      <c r="P19" cm="1">
        <f t="array" ref="P19">SUMPRODUCT(
  (('Group Stage'!$C$2:$C$73=A19)*('Group Stage'!$E$2:$E$73&gt;'Group Stage'!$F$2:$F$73))*3+
  (('Group Stage'!$D$2:$D$73=A19)*('Group Stage'!$F$2:$F$73&gt;'Group Stage'!$E$2:$E$73))*3+
  (('Group Stage'!$C$2:$C$73=A19)*('Group Stage'!$E$2:$E$73='Group Stage'!$F$2:$F$73))*1+
  (('Group Stage'!$D$2:$D$73=A19)*('Group Stage'!$F$2:$F$73='Group Stage'!$E$2:$E$73))*1
)</f>
        <v>4</v>
      </c>
      <c r="Q19" cm="1">
        <f t="array" ref="Q19">SUMPRODUCT(
  ('Group Stage'!$C$2:$C$73=A19)*('Group Stage'!$E$2:$E$73-'Group Stage'!$F$2:$F$73)+
  ('Group Stage'!$D$2:$D$73=A19)*('Group Stage'!$F$2:$F$73-'Group Stage'!$E$2:$E$73)
)</f>
        <v>1</v>
      </c>
      <c r="R19" cm="1">
        <f t="array" ref="R19">SUMPRODUCT(
  ('Group Stage'!$C$2:$C$73=A19)*'Group Stage'!$E$2:$E$73+
  ('Group Stage'!$D$2:$D$73=A19)*'Group Stage'!$F$2:$F$73
)</f>
        <v>3</v>
      </c>
      <c r="S19" cm="1">
        <f t="array" ref="S19">SUMPRODUCT(
  (('Elimination Rounds'!$L$2:$L$49=L19)*
  (('Elimination Rounds'!$P$2:$P$49&gt;P19)+
  ('Elimination Rounds'!$P$2:$P$49=P19)*('Elimination Rounds'!$Q$2:$Q$49&gt;Q19)+
  ('Elimination Rounds'!$P$2:$P$49=P19)*('Elimination Rounds'!$Q$2:$Q$49=Q19)*('Elimination Rounds'!$R$2:$R$49&gt;R19)))
)+1</f>
        <v>2</v>
      </c>
      <c r="U19" t="str">
        <v>Ecuador</v>
      </c>
      <c r="V19" t="str">
        <v>E</v>
      </c>
      <c r="W19">
        <v>1</v>
      </c>
      <c r="X19">
        <v>1</v>
      </c>
      <c r="Y19">
        <v>1</v>
      </c>
      <c r="Z19">
        <v>4</v>
      </c>
      <c r="AA19">
        <v>1</v>
      </c>
      <c r="AB19">
        <v>3</v>
      </c>
      <c r="AC19">
        <v>2</v>
      </c>
      <c r="AF19" s="1" t="s">
        <v>88</v>
      </c>
      <c r="AG19" s="1" t="s">
        <v>89</v>
      </c>
      <c r="AH19" s="18" t="s">
        <v>113</v>
      </c>
      <c r="AI19" s="18" t="s">
        <v>43</v>
      </c>
      <c r="AJ19" s="18" t="s">
        <v>83</v>
      </c>
      <c r="AK19" s="18" t="s">
        <v>114</v>
      </c>
      <c r="AL19" s="18" t="s">
        <v>115</v>
      </c>
      <c r="AM19" s="18" t="s">
        <v>117</v>
      </c>
      <c r="AN19" s="18" t="s">
        <v>116</v>
      </c>
      <c r="AP19" s="1" t="s">
        <v>88</v>
      </c>
      <c r="AQ19" s="1" t="s">
        <v>89</v>
      </c>
      <c r="AR19" s="18" t="s">
        <v>113</v>
      </c>
      <c r="AS19" s="18" t="s">
        <v>43</v>
      </c>
      <c r="AT19" s="18" t="s">
        <v>83</v>
      </c>
      <c r="AU19" s="18" t="s">
        <v>114</v>
      </c>
      <c r="AV19" s="18" t="s">
        <v>115</v>
      </c>
      <c r="AW19" s="18" t="s">
        <v>117</v>
      </c>
      <c r="AX19" s="18" t="s">
        <v>116</v>
      </c>
    </row>
    <row r="20" spans="1:50" x14ac:dyDescent="0.35">
      <c r="A20" s="2" t="s">
        <v>51</v>
      </c>
      <c r="B20" s="3" t="str">
        <f t="shared" si="0"/>
        <v>E3</v>
      </c>
      <c r="C20" s="3" t="s">
        <v>48</v>
      </c>
      <c r="D20" s="10">
        <v>3</v>
      </c>
      <c r="E20" s="10">
        <v>1</v>
      </c>
      <c r="F20" s="10"/>
      <c r="G20" s="10"/>
      <c r="H20" s="10"/>
      <c r="I20" s="10"/>
      <c r="K20" s="2" t="s">
        <v>51</v>
      </c>
      <c r="L20" s="3" t="s">
        <v>48</v>
      </c>
      <c r="M20" cm="1">
        <f t="array" ref="M20">SUMPRODUCT(
  (('Group Stage'!$C$2:$C$73=A20)*('Group Stage'!$E$2:$E$73&gt;'Group Stage'!$F$2:$F$73))+
  (('Group Stage'!$D$2:$D$73=A20)*('Group Stage'!$F$2:$F$73&gt;'Group Stage'!$E$2:$E$73))
)</f>
        <v>1</v>
      </c>
      <c r="N20" cm="1">
        <f t="array" ref="N20">SUMPRODUCT(
  (('Group Stage'!$C$2:$C$73=A20)*('Group Stage'!$E$2:$E$73='Group Stage'!$F$2:$F$73))+
  (('Group Stage'!$D$2:$D$73=A20)*('Group Stage'!$F$2:$F$73='Group Stage'!$E$2:$E$73))
)</f>
        <v>1</v>
      </c>
      <c r="O20" cm="1">
        <f t="array" ref="O20">SUMPRODUCT(
  (('Group Stage'!$C$2:$C$73=A20)*('Group Stage'!$E$2:$E$73&lt;'Group Stage'!$F$2:$F$73))+
  (('Group Stage'!$D$2:$D$73=A20)*('Group Stage'!$F$2:$F$73&lt;'Group Stage'!$E$2:$E$73))
)</f>
        <v>1</v>
      </c>
      <c r="P20" cm="1">
        <f t="array" ref="P20">SUMPRODUCT(
  (('Group Stage'!$C$2:$C$73=A20)*('Group Stage'!$E$2:$E$73&gt;'Group Stage'!$F$2:$F$73))*3+
  (('Group Stage'!$D$2:$D$73=A20)*('Group Stage'!$F$2:$F$73&gt;'Group Stage'!$E$2:$E$73))*3+
  (('Group Stage'!$C$2:$C$73=A20)*('Group Stage'!$E$2:$E$73='Group Stage'!$F$2:$F$73))*1+
  (('Group Stage'!$D$2:$D$73=A20)*('Group Stage'!$F$2:$F$73='Group Stage'!$E$2:$E$73))*1
)</f>
        <v>4</v>
      </c>
      <c r="Q20" cm="1">
        <f t="array" ref="Q20">SUMPRODUCT(
  ('Group Stage'!$C$2:$C$73=A20)*('Group Stage'!$E$2:$E$73-'Group Stage'!$F$2:$F$73)+
  ('Group Stage'!$D$2:$D$73=A20)*('Group Stage'!$F$2:$F$73-'Group Stage'!$E$2:$E$73)
)</f>
        <v>0</v>
      </c>
      <c r="R20" cm="1">
        <f t="array" ref="R20">SUMPRODUCT(
  ('Group Stage'!$C$2:$C$73=A20)*'Group Stage'!$E$2:$E$73+
  ('Group Stage'!$D$2:$D$73=A20)*'Group Stage'!$F$2:$F$73
)</f>
        <v>3</v>
      </c>
      <c r="S20" cm="1">
        <f t="array" ref="S20">SUMPRODUCT(
  (('Elimination Rounds'!$L$2:$L$49=L20)*
  (('Elimination Rounds'!$P$2:$P$49&gt;P20)+
  ('Elimination Rounds'!$P$2:$P$49=P20)*('Elimination Rounds'!$Q$2:$Q$49&gt;Q20)+
  ('Elimination Rounds'!$P$2:$P$49=P20)*('Elimination Rounds'!$Q$2:$Q$49=Q20)*('Elimination Rounds'!$R$2:$R$49&gt;R20)))
)+1</f>
        <v>3</v>
      </c>
      <c r="U20" t="str">
        <v>Ivory Coast</v>
      </c>
      <c r="V20" t="str">
        <v>E</v>
      </c>
      <c r="W20">
        <v>1</v>
      </c>
      <c r="X20">
        <v>1</v>
      </c>
      <c r="Y20">
        <v>1</v>
      </c>
      <c r="Z20">
        <v>4</v>
      </c>
      <c r="AA20">
        <v>0</v>
      </c>
      <c r="AB20">
        <v>3</v>
      </c>
      <c r="AC20">
        <v>3</v>
      </c>
      <c r="AF20" s="2" t="str">
        <f>U14</f>
        <v>Turkiye</v>
      </c>
      <c r="AG20" s="3" t="str">
        <f t="shared" ref="AG20:AN20" si="61">V14</f>
        <v>D</v>
      </c>
      <c r="AH20" s="3">
        <f t="shared" si="61"/>
        <v>2</v>
      </c>
      <c r="AI20" s="3">
        <f t="shared" si="61"/>
        <v>1</v>
      </c>
      <c r="AJ20" s="3">
        <f t="shared" si="61"/>
        <v>0</v>
      </c>
      <c r="AK20" s="3">
        <f t="shared" si="61"/>
        <v>7</v>
      </c>
      <c r="AL20" s="3">
        <f t="shared" si="61"/>
        <v>2</v>
      </c>
      <c r="AM20" s="3">
        <f t="shared" si="61"/>
        <v>2</v>
      </c>
      <c r="AN20" s="3">
        <f t="shared" si="61"/>
        <v>1</v>
      </c>
      <c r="AP20" s="2" t="str">
        <f>U46</f>
        <v>England</v>
      </c>
      <c r="AQ20" s="3" t="str">
        <f t="shared" ref="AQ20:AX20" si="62">V46</f>
        <v>L</v>
      </c>
      <c r="AR20" s="3">
        <f t="shared" si="62"/>
        <v>3</v>
      </c>
      <c r="AS20" s="3">
        <f t="shared" si="62"/>
        <v>0</v>
      </c>
      <c r="AT20" s="3">
        <f t="shared" si="62"/>
        <v>0</v>
      </c>
      <c r="AU20" s="3">
        <f t="shared" si="62"/>
        <v>9</v>
      </c>
      <c r="AV20" s="3">
        <f t="shared" si="62"/>
        <v>4</v>
      </c>
      <c r="AW20" s="3">
        <f t="shared" si="62"/>
        <v>5</v>
      </c>
      <c r="AX20" s="3">
        <f t="shared" si="62"/>
        <v>1</v>
      </c>
    </row>
    <row r="21" spans="1:50" x14ac:dyDescent="0.3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  <c r="K21" s="2" t="s">
        <v>52</v>
      </c>
      <c r="L21" s="3" t="s">
        <v>48</v>
      </c>
      <c r="M21" cm="1">
        <f t="array" ref="M21">SUMPRODUCT(
  (('Group Stage'!$C$2:$C$73=A21)*('Group Stage'!$E$2:$E$73&gt;'Group Stage'!$F$2:$F$73))+
  (('Group Stage'!$D$2:$D$73=A21)*('Group Stage'!$F$2:$F$73&gt;'Group Stage'!$E$2:$E$73))
)</f>
        <v>0</v>
      </c>
      <c r="N21" cm="1">
        <f t="array" ref="N21">SUMPRODUCT(
  (('Group Stage'!$C$2:$C$73=A21)*('Group Stage'!$E$2:$E$73='Group Stage'!$F$2:$F$73))+
  (('Group Stage'!$D$2:$D$73=A21)*('Group Stage'!$F$2:$F$73='Group Stage'!$E$2:$E$73))
)</f>
        <v>0</v>
      </c>
      <c r="O21" cm="1">
        <f t="array" ref="O21">SUMPRODUCT(
  (('Group Stage'!$C$2:$C$73=A21)*('Group Stage'!$E$2:$E$73&lt;'Group Stage'!$F$2:$F$73))+
  (('Group Stage'!$D$2:$D$73=A21)*('Group Stage'!$F$2:$F$73&lt;'Group Stage'!$E$2:$E$73))
)</f>
        <v>3</v>
      </c>
      <c r="P21" cm="1">
        <f t="array" ref="P21">SUMPRODUCT(
  (('Group Stage'!$C$2:$C$73=A21)*('Group Stage'!$E$2:$E$73&gt;'Group Stage'!$F$2:$F$73))*3+
  (('Group Stage'!$D$2:$D$73=A21)*('Group Stage'!$F$2:$F$73&gt;'Group Stage'!$E$2:$E$73))*3+
  (('Group Stage'!$C$2:$C$73=A21)*('Group Stage'!$E$2:$E$73='Group Stage'!$F$2:$F$73))*1+
  (('Group Stage'!$D$2:$D$73=A21)*('Group Stage'!$F$2:$F$73='Group Stage'!$E$2:$E$73))*1
)</f>
        <v>0</v>
      </c>
      <c r="Q21" cm="1">
        <f t="array" ref="Q21">SUMPRODUCT(
  ('Group Stage'!$C$2:$C$73=A21)*('Group Stage'!$E$2:$E$73-'Group Stage'!$F$2:$F$73)+
  ('Group Stage'!$D$2:$D$73=A21)*('Group Stage'!$F$2:$F$73-'Group Stage'!$E$2:$E$73)
)</f>
        <v>-6</v>
      </c>
      <c r="R21" cm="1">
        <f t="array" ref="R21">SUMPRODUCT(
  ('Group Stage'!$C$2:$C$73=A21)*'Group Stage'!$E$2:$E$73+
  ('Group Stage'!$D$2:$D$73=A21)*'Group Stage'!$F$2:$F$73
)</f>
        <v>0</v>
      </c>
      <c r="S21" cm="1">
        <f t="array" ref="S21">SUMPRODUCT(
  (('Elimination Rounds'!$L$2:$L$49=L21)*
  (('Elimination Rounds'!$P$2:$P$49&gt;P21)+
  ('Elimination Rounds'!$P$2:$P$49=P21)*('Elimination Rounds'!$Q$2:$Q$49&gt;Q21)+
  ('Elimination Rounds'!$P$2:$P$49=P21)*('Elimination Rounds'!$Q$2:$Q$49=Q21)*('Elimination Rounds'!$R$2:$R$49&gt;R21)))
)+1</f>
        <v>4</v>
      </c>
      <c r="U21" t="str">
        <v>Curacao</v>
      </c>
      <c r="V21" t="str">
        <v>E</v>
      </c>
      <c r="W21">
        <v>0</v>
      </c>
      <c r="X21">
        <v>0</v>
      </c>
      <c r="Y21">
        <v>3</v>
      </c>
      <c r="Z21">
        <v>0</v>
      </c>
      <c r="AA21">
        <v>-6</v>
      </c>
      <c r="AB21">
        <v>0</v>
      </c>
      <c r="AC21">
        <v>4</v>
      </c>
      <c r="AF21" s="2" t="str">
        <f t="shared" ref="AF21:AF23" si="63">U15</f>
        <v>USA</v>
      </c>
      <c r="AG21" s="3" t="str">
        <f t="shared" ref="AG21:AG23" si="64">V15</f>
        <v>D</v>
      </c>
      <c r="AH21" s="3">
        <f t="shared" ref="AH21:AH23" si="65">W15</f>
        <v>1</v>
      </c>
      <c r="AI21" s="3">
        <f t="shared" ref="AI21:AI23" si="66">X15</f>
        <v>2</v>
      </c>
      <c r="AJ21" s="3">
        <f t="shared" ref="AJ21:AJ23" si="67">Y15</f>
        <v>0</v>
      </c>
      <c r="AK21" s="3">
        <f t="shared" ref="AK21:AK23" si="68">Z15</f>
        <v>5</v>
      </c>
      <c r="AL21" s="3">
        <f t="shared" ref="AL21:AL23" si="69">AA15</f>
        <v>1</v>
      </c>
      <c r="AM21" s="3">
        <f t="shared" ref="AM21:AM23" si="70">AB15</f>
        <v>2</v>
      </c>
      <c r="AN21" s="3">
        <f t="shared" ref="AN21:AN23" si="71">AC15</f>
        <v>2</v>
      </c>
      <c r="AP21" s="2" t="str">
        <f t="shared" ref="AP21:AP23" si="72">U47</f>
        <v>Croatia</v>
      </c>
      <c r="AQ21" s="3" t="str">
        <f t="shared" ref="AQ21:AQ23" si="73">V47</f>
        <v>L</v>
      </c>
      <c r="AR21" s="3">
        <f t="shared" ref="AR21:AR23" si="74">W47</f>
        <v>1</v>
      </c>
      <c r="AS21" s="3">
        <f t="shared" ref="AS21:AS23" si="75">X47</f>
        <v>1</v>
      </c>
      <c r="AT21" s="3">
        <f t="shared" ref="AT21:AT23" si="76">Y47</f>
        <v>1</v>
      </c>
      <c r="AU21" s="3">
        <f t="shared" ref="AU21:AU23" si="77">Z47</f>
        <v>4</v>
      </c>
      <c r="AV21" s="3">
        <f t="shared" ref="AV21:AV23" si="78">AA47</f>
        <v>1</v>
      </c>
      <c r="AW21" s="3">
        <f t="shared" ref="AW21:AW23" si="79">AB47</f>
        <v>4</v>
      </c>
      <c r="AX21" s="3">
        <f t="shared" ref="AX21:AX23" si="80">AC47</f>
        <v>2</v>
      </c>
    </row>
    <row r="22" spans="1:50" x14ac:dyDescent="0.35">
      <c r="A22" s="2" t="s">
        <v>54</v>
      </c>
      <c r="B22" s="3" t="str">
        <f t="shared" si="0"/>
        <v>F1</v>
      </c>
      <c r="C22" s="3" t="s">
        <v>53</v>
      </c>
      <c r="D22" s="10">
        <v>1</v>
      </c>
      <c r="E22" s="10">
        <v>1</v>
      </c>
      <c r="F22" s="10">
        <v>1</v>
      </c>
      <c r="G22" s="10"/>
      <c r="H22" s="10"/>
      <c r="I22" s="10"/>
      <c r="K22" s="2" t="s">
        <v>54</v>
      </c>
      <c r="L22" s="3" t="s">
        <v>53</v>
      </c>
      <c r="M22" cm="1">
        <f t="array" ref="M22">SUMPRODUCT(
  (('Group Stage'!$C$2:$C$73=A22)*('Group Stage'!$E$2:$E$73&gt;'Group Stage'!$F$2:$F$73))+
  (('Group Stage'!$D$2:$D$73=A22)*('Group Stage'!$F$2:$F$73&gt;'Group Stage'!$E$2:$E$73))
)</f>
        <v>3</v>
      </c>
      <c r="N22" cm="1">
        <f t="array" ref="N22">SUMPRODUCT(
  (('Group Stage'!$C$2:$C$73=A22)*('Group Stage'!$E$2:$E$73='Group Stage'!$F$2:$F$73))+
  (('Group Stage'!$D$2:$D$73=A22)*('Group Stage'!$F$2:$F$73='Group Stage'!$E$2:$E$73))
)</f>
        <v>0</v>
      </c>
      <c r="O22" cm="1">
        <f t="array" ref="O22">SUMPRODUCT(
  (('Group Stage'!$C$2:$C$73=A22)*('Group Stage'!$E$2:$E$73&lt;'Group Stage'!$F$2:$F$73))+
  (('Group Stage'!$D$2:$D$73=A22)*('Group Stage'!$F$2:$F$73&lt;'Group Stage'!$E$2:$E$73))
)</f>
        <v>0</v>
      </c>
      <c r="P22" cm="1">
        <f t="array" ref="P22">SUMPRODUCT(
  (('Group Stage'!$C$2:$C$73=A22)*('Group Stage'!$E$2:$E$73&gt;'Group Stage'!$F$2:$F$73))*3+
  (('Group Stage'!$D$2:$D$73=A22)*('Group Stage'!$F$2:$F$73&gt;'Group Stage'!$E$2:$E$73))*3+
  (('Group Stage'!$C$2:$C$73=A22)*('Group Stage'!$E$2:$E$73='Group Stage'!$F$2:$F$73))*1+
  (('Group Stage'!$D$2:$D$73=A22)*('Group Stage'!$F$2:$F$73='Group Stage'!$E$2:$E$73))*1
)</f>
        <v>9</v>
      </c>
      <c r="Q22" cm="1">
        <f t="array" ref="Q22">SUMPRODUCT(
  ('Group Stage'!$C$2:$C$73=A22)*('Group Stage'!$E$2:$E$73-'Group Stage'!$F$2:$F$73)+
  ('Group Stage'!$D$2:$D$73=A22)*('Group Stage'!$F$2:$F$73-'Group Stage'!$E$2:$E$73)
)</f>
        <v>4</v>
      </c>
      <c r="R22" cm="1">
        <f t="array" ref="R22">SUMPRODUCT(
  ('Group Stage'!$C$2:$C$73=A22)*'Group Stage'!$E$2:$E$73+
  ('Group Stage'!$D$2:$D$73=A22)*'Group Stage'!$F$2:$F$73
)</f>
        <v>4</v>
      </c>
      <c r="S22" cm="1">
        <f t="array" ref="S22">SUMPRODUCT(
  (('Elimination Rounds'!$L$2:$L$49=L22)*
  (('Elimination Rounds'!$P$2:$P$49&gt;P22)+
  ('Elimination Rounds'!$P$2:$P$49=P22)*('Elimination Rounds'!$Q$2:$Q$49&gt;Q22)+
  ('Elimination Rounds'!$P$2:$P$49=P22)*('Elimination Rounds'!$Q$2:$Q$49=Q22)*('Elimination Rounds'!$R$2:$R$49&gt;R22)))
)+1</f>
        <v>1</v>
      </c>
      <c r="U22" t="str">
        <v>Netherlands</v>
      </c>
      <c r="V22" t="str">
        <v>F</v>
      </c>
      <c r="W22">
        <v>3</v>
      </c>
      <c r="X22">
        <v>0</v>
      </c>
      <c r="Y22">
        <v>0</v>
      </c>
      <c r="Z22">
        <v>9</v>
      </c>
      <c r="AA22">
        <v>4</v>
      </c>
      <c r="AB22">
        <v>4</v>
      </c>
      <c r="AC22">
        <v>1</v>
      </c>
      <c r="AF22" s="2" t="str">
        <f t="shared" si="63"/>
        <v>Australia</v>
      </c>
      <c r="AG22" s="3" t="str">
        <f t="shared" si="64"/>
        <v>D</v>
      </c>
      <c r="AH22" s="3">
        <f t="shared" si="65"/>
        <v>0</v>
      </c>
      <c r="AI22" s="3">
        <f t="shared" si="66"/>
        <v>2</v>
      </c>
      <c r="AJ22" s="3">
        <f t="shared" si="67"/>
        <v>1</v>
      </c>
      <c r="AK22" s="3">
        <f t="shared" si="68"/>
        <v>2</v>
      </c>
      <c r="AL22" s="3">
        <f t="shared" si="69"/>
        <v>-1</v>
      </c>
      <c r="AM22" s="3">
        <f t="shared" si="70"/>
        <v>2</v>
      </c>
      <c r="AN22" s="3">
        <f t="shared" si="71"/>
        <v>3</v>
      </c>
      <c r="AP22" s="2" t="str">
        <f t="shared" si="72"/>
        <v>Ghana</v>
      </c>
      <c r="AQ22" s="3" t="str">
        <f t="shared" si="73"/>
        <v>L</v>
      </c>
      <c r="AR22" s="3">
        <f t="shared" si="74"/>
        <v>1</v>
      </c>
      <c r="AS22" s="3">
        <f t="shared" si="75"/>
        <v>1</v>
      </c>
      <c r="AT22" s="3">
        <f t="shared" si="76"/>
        <v>1</v>
      </c>
      <c r="AU22" s="3">
        <f t="shared" si="77"/>
        <v>4</v>
      </c>
      <c r="AV22" s="3">
        <f t="shared" si="78"/>
        <v>0</v>
      </c>
      <c r="AW22" s="3">
        <f t="shared" si="79"/>
        <v>2</v>
      </c>
      <c r="AX22" s="3">
        <f t="shared" si="80"/>
        <v>3</v>
      </c>
    </row>
    <row r="23" spans="1:50" x14ac:dyDescent="0.35">
      <c r="A23" s="2" t="s">
        <v>55</v>
      </c>
      <c r="B23" s="3" t="str">
        <f t="shared" si="0"/>
        <v>F2</v>
      </c>
      <c r="C23" s="3" t="s">
        <v>53</v>
      </c>
      <c r="D23" s="10">
        <v>2</v>
      </c>
      <c r="E23" s="10"/>
      <c r="F23" s="10"/>
      <c r="G23" s="10"/>
      <c r="H23" s="10"/>
      <c r="I23" s="10"/>
      <c r="K23" s="2" t="s">
        <v>55</v>
      </c>
      <c r="L23" s="3" t="s">
        <v>53</v>
      </c>
      <c r="M23" cm="1">
        <f t="array" ref="M23">SUMPRODUCT(
  (('Group Stage'!$C$2:$C$73=A23)*('Group Stage'!$E$2:$E$73&gt;'Group Stage'!$F$2:$F$73))+
  (('Group Stage'!$D$2:$D$73=A23)*('Group Stage'!$F$2:$F$73&gt;'Group Stage'!$E$2:$E$73))
)</f>
        <v>1</v>
      </c>
      <c r="N23" cm="1">
        <f t="array" ref="N23">SUMPRODUCT(
  (('Group Stage'!$C$2:$C$73=A23)*('Group Stage'!$E$2:$E$73='Group Stage'!$F$2:$F$73))+
  (('Group Stage'!$D$2:$D$73=A23)*('Group Stage'!$F$2:$F$73='Group Stage'!$E$2:$E$73))
)</f>
        <v>1</v>
      </c>
      <c r="O23" cm="1">
        <f t="array" ref="O23">SUMPRODUCT(
  (('Group Stage'!$C$2:$C$73=A23)*('Group Stage'!$E$2:$E$73&lt;'Group Stage'!$F$2:$F$73))+
  (('Group Stage'!$D$2:$D$73=A23)*('Group Stage'!$F$2:$F$73&lt;'Group Stage'!$E$2:$E$73))
)</f>
        <v>1</v>
      </c>
      <c r="P23" cm="1">
        <f t="array" ref="P23">SUMPRODUCT(
  (('Group Stage'!$C$2:$C$73=A23)*('Group Stage'!$E$2:$E$73&gt;'Group Stage'!$F$2:$F$73))*3+
  (('Group Stage'!$D$2:$D$73=A23)*('Group Stage'!$F$2:$F$73&gt;'Group Stage'!$E$2:$E$73))*3+
  (('Group Stage'!$C$2:$C$73=A23)*('Group Stage'!$E$2:$E$73='Group Stage'!$F$2:$F$73))*1+
  (('Group Stage'!$D$2:$D$73=A23)*('Group Stage'!$F$2:$F$73='Group Stage'!$E$2:$E$73))*1
)</f>
        <v>4</v>
      </c>
      <c r="Q23" cm="1">
        <f t="array" ref="Q23">SUMPRODUCT(
  ('Group Stage'!$C$2:$C$73=A23)*('Group Stage'!$E$2:$E$73-'Group Stage'!$F$2:$F$73)+
  ('Group Stage'!$D$2:$D$73=A23)*('Group Stage'!$F$2:$F$73-'Group Stage'!$E$2:$E$73)
)</f>
        <v>1</v>
      </c>
      <c r="R23" cm="1">
        <f t="array" ref="R23">SUMPRODUCT(
  ('Group Stage'!$C$2:$C$73=A23)*'Group Stage'!$E$2:$E$73+
  ('Group Stage'!$D$2:$D$73=A23)*'Group Stage'!$F$2:$F$73
)</f>
        <v>3</v>
      </c>
      <c r="S23" cm="1">
        <f t="array" ref="S23">SUMPRODUCT(
  (('Elimination Rounds'!$L$2:$L$49=L23)*
  (('Elimination Rounds'!$P$2:$P$49&gt;P23)+
  ('Elimination Rounds'!$P$2:$P$49=P23)*('Elimination Rounds'!$Q$2:$Q$49&gt;Q23)+
  ('Elimination Rounds'!$P$2:$P$49=P23)*('Elimination Rounds'!$Q$2:$Q$49=Q23)*('Elimination Rounds'!$R$2:$R$49&gt;R23)))
)+1</f>
        <v>2</v>
      </c>
      <c r="U23" t="str">
        <v>Japan</v>
      </c>
      <c r="V23" t="str">
        <v>F</v>
      </c>
      <c r="W23">
        <v>1</v>
      </c>
      <c r="X23">
        <v>1</v>
      </c>
      <c r="Y23">
        <v>1</v>
      </c>
      <c r="Z23">
        <v>4</v>
      </c>
      <c r="AA23">
        <v>1</v>
      </c>
      <c r="AB23">
        <v>3</v>
      </c>
      <c r="AC23">
        <v>2</v>
      </c>
      <c r="AF23" s="2" t="str">
        <f t="shared" si="63"/>
        <v>Paraguay</v>
      </c>
      <c r="AG23" s="3" t="str">
        <f t="shared" si="64"/>
        <v>D</v>
      </c>
      <c r="AH23" s="3">
        <f t="shared" si="65"/>
        <v>0</v>
      </c>
      <c r="AI23" s="3">
        <f t="shared" si="66"/>
        <v>1</v>
      </c>
      <c r="AJ23" s="3">
        <f t="shared" si="67"/>
        <v>2</v>
      </c>
      <c r="AK23" s="3">
        <f t="shared" si="68"/>
        <v>1</v>
      </c>
      <c r="AL23" s="3">
        <f t="shared" si="69"/>
        <v>-2</v>
      </c>
      <c r="AM23" s="3">
        <f t="shared" si="70"/>
        <v>1</v>
      </c>
      <c r="AN23" s="3">
        <f t="shared" si="71"/>
        <v>4</v>
      </c>
      <c r="AP23" s="2" t="str">
        <f t="shared" si="72"/>
        <v>Panama</v>
      </c>
      <c r="AQ23" s="3" t="str">
        <f t="shared" si="73"/>
        <v>L</v>
      </c>
      <c r="AR23" s="3">
        <f t="shared" si="74"/>
        <v>0</v>
      </c>
      <c r="AS23" s="3">
        <f t="shared" si="75"/>
        <v>0</v>
      </c>
      <c r="AT23" s="3">
        <f t="shared" si="76"/>
        <v>3</v>
      </c>
      <c r="AU23" s="3">
        <f t="shared" si="77"/>
        <v>0</v>
      </c>
      <c r="AV23" s="3">
        <f t="shared" si="78"/>
        <v>-5</v>
      </c>
      <c r="AW23" s="3">
        <f t="shared" si="79"/>
        <v>0</v>
      </c>
      <c r="AX23" s="3">
        <f t="shared" si="80"/>
        <v>4</v>
      </c>
    </row>
    <row r="24" spans="1:50" x14ac:dyDescent="0.35">
      <c r="A24" s="2" t="s">
        <v>56</v>
      </c>
      <c r="B24" s="3" t="str">
        <f t="shared" si="0"/>
        <v>F4</v>
      </c>
      <c r="C24" s="3" t="s">
        <v>53</v>
      </c>
      <c r="D24" s="10">
        <v>4</v>
      </c>
      <c r="E24" s="10"/>
      <c r="F24" s="10"/>
      <c r="G24" s="10"/>
      <c r="H24" s="10"/>
      <c r="I24" s="10"/>
      <c r="K24" s="2" t="s">
        <v>56</v>
      </c>
      <c r="L24" s="3" t="s">
        <v>53</v>
      </c>
      <c r="M24" cm="1">
        <f t="array" ref="M24">SUMPRODUCT(
  (('Group Stage'!$C$2:$C$73=A24)*('Group Stage'!$E$2:$E$73&gt;'Group Stage'!$F$2:$F$73))+
  (('Group Stage'!$D$2:$D$73=A24)*('Group Stage'!$F$2:$F$73&gt;'Group Stage'!$E$2:$E$73))
)</f>
        <v>0</v>
      </c>
      <c r="N24" cm="1">
        <f t="array" ref="N24">SUMPRODUCT(
  (('Group Stage'!$C$2:$C$73=A24)*('Group Stage'!$E$2:$E$73='Group Stage'!$F$2:$F$73))+
  (('Group Stage'!$D$2:$D$73=A24)*('Group Stage'!$F$2:$F$73='Group Stage'!$E$2:$E$73))
)</f>
        <v>0</v>
      </c>
      <c r="O24" cm="1">
        <f t="array" ref="O24">SUMPRODUCT(
  (('Group Stage'!$C$2:$C$73=A24)*('Group Stage'!$E$2:$E$73&lt;'Group Stage'!$F$2:$F$73))+
  (('Group Stage'!$D$2:$D$73=A24)*('Group Stage'!$F$2:$F$73&lt;'Group Stage'!$E$2:$E$73))
)</f>
        <v>3</v>
      </c>
      <c r="P24" cm="1">
        <f t="array" ref="P24">SUMPRODUCT(
  (('Group Stage'!$C$2:$C$73=A24)*('Group Stage'!$E$2:$E$73&gt;'Group Stage'!$F$2:$F$73))*3+
  (('Group Stage'!$D$2:$D$73=A24)*('Group Stage'!$F$2:$F$73&gt;'Group Stage'!$E$2:$E$73))*3+
  (('Group Stage'!$C$2:$C$73=A24)*('Group Stage'!$E$2:$E$73='Group Stage'!$F$2:$F$73))*1+
  (('Group Stage'!$D$2:$D$73=A24)*('Group Stage'!$F$2:$F$73='Group Stage'!$E$2:$E$73))*1
)</f>
        <v>0</v>
      </c>
      <c r="Q24" cm="1">
        <f t="array" ref="Q24">SUMPRODUCT(
  ('Group Stage'!$C$2:$C$73=A24)*('Group Stage'!$E$2:$E$73-'Group Stage'!$F$2:$F$73)+
  ('Group Stage'!$D$2:$D$73=A24)*('Group Stage'!$F$2:$F$73-'Group Stage'!$E$2:$E$73)
)</f>
        <v>-5</v>
      </c>
      <c r="R24" cm="1">
        <f t="array" ref="R24">SUMPRODUCT(
  ('Group Stage'!$C$2:$C$73=A24)*'Group Stage'!$E$2:$E$73+
  ('Group Stage'!$D$2:$D$73=A24)*'Group Stage'!$F$2:$F$73
)</f>
        <v>0</v>
      </c>
      <c r="S24" cm="1">
        <f t="array" ref="S24">SUMPRODUCT(
  (('Elimination Rounds'!$L$2:$L$49=L24)*
  (('Elimination Rounds'!$P$2:$P$49&gt;P24)+
  ('Elimination Rounds'!$P$2:$P$49=P24)*('Elimination Rounds'!$Q$2:$Q$49&gt;Q24)+
  ('Elimination Rounds'!$P$2:$P$49=P24)*('Elimination Rounds'!$Q$2:$Q$49=Q24)*('Elimination Rounds'!$R$2:$R$49&gt;R24)))
)+1</f>
        <v>4</v>
      </c>
      <c r="U24" t="str">
        <v>Sweden</v>
      </c>
      <c r="V24" t="str">
        <v>F</v>
      </c>
      <c r="W24">
        <v>1</v>
      </c>
      <c r="X24">
        <v>1</v>
      </c>
      <c r="Y24">
        <v>1</v>
      </c>
      <c r="Z24">
        <v>4</v>
      </c>
      <c r="AA24">
        <v>0</v>
      </c>
      <c r="AB24">
        <v>2</v>
      </c>
      <c r="AC24">
        <v>3</v>
      </c>
    </row>
    <row r="25" spans="1:50" x14ac:dyDescent="0.35">
      <c r="A25" s="2" t="s">
        <v>57</v>
      </c>
      <c r="B25" s="3" t="str">
        <f t="shared" si="0"/>
        <v>F3</v>
      </c>
      <c r="C25" s="3" t="s">
        <v>53</v>
      </c>
      <c r="D25" s="10">
        <v>3</v>
      </c>
      <c r="E25" s="10"/>
      <c r="F25" s="10"/>
      <c r="G25" s="10"/>
      <c r="H25" s="10"/>
      <c r="I25" s="10"/>
      <c r="K25" s="2" t="s">
        <v>57</v>
      </c>
      <c r="L25" s="3" t="s">
        <v>53</v>
      </c>
      <c r="M25" cm="1">
        <f t="array" ref="M25">SUMPRODUCT(
  (('Group Stage'!$C$2:$C$73=A25)*('Group Stage'!$E$2:$E$73&gt;'Group Stage'!$F$2:$F$73))+
  (('Group Stage'!$D$2:$D$73=A25)*('Group Stage'!$F$2:$F$73&gt;'Group Stage'!$E$2:$E$73))
)</f>
        <v>1</v>
      </c>
      <c r="N25" cm="1">
        <f t="array" ref="N25">SUMPRODUCT(
  (('Group Stage'!$C$2:$C$73=A25)*('Group Stage'!$E$2:$E$73='Group Stage'!$F$2:$F$73))+
  (('Group Stage'!$D$2:$D$73=A25)*('Group Stage'!$F$2:$F$73='Group Stage'!$E$2:$E$73))
)</f>
        <v>1</v>
      </c>
      <c r="O25" cm="1">
        <f t="array" ref="O25">SUMPRODUCT(
  (('Group Stage'!$C$2:$C$73=A25)*('Group Stage'!$E$2:$E$73&lt;'Group Stage'!$F$2:$F$73))+
  (('Group Stage'!$D$2:$D$73=A25)*('Group Stage'!$F$2:$F$73&lt;'Group Stage'!$E$2:$E$73))
)</f>
        <v>1</v>
      </c>
      <c r="P25" cm="1">
        <f t="array" ref="P25">SUMPRODUCT(
  (('Group Stage'!$C$2:$C$73=A25)*('Group Stage'!$E$2:$E$73&gt;'Group Stage'!$F$2:$F$73))*3+
  (('Group Stage'!$D$2:$D$73=A25)*('Group Stage'!$F$2:$F$73&gt;'Group Stage'!$E$2:$E$73))*3+
  (('Group Stage'!$C$2:$C$73=A25)*('Group Stage'!$E$2:$E$73='Group Stage'!$F$2:$F$73))*1+
  (('Group Stage'!$D$2:$D$73=A25)*('Group Stage'!$F$2:$F$73='Group Stage'!$E$2:$E$73))*1
)</f>
        <v>4</v>
      </c>
      <c r="Q25" cm="1">
        <f t="array" ref="Q25">SUMPRODUCT(
  ('Group Stage'!$C$2:$C$73=A25)*('Group Stage'!$E$2:$E$73-'Group Stage'!$F$2:$F$73)+
  ('Group Stage'!$D$2:$D$73=A25)*('Group Stage'!$F$2:$F$73-'Group Stage'!$E$2:$E$73)
)</f>
        <v>0</v>
      </c>
      <c r="R25" cm="1">
        <f t="array" ref="R25">SUMPRODUCT(
  ('Group Stage'!$C$2:$C$73=A25)*'Group Stage'!$E$2:$E$73+
  ('Group Stage'!$D$2:$D$73=A25)*'Group Stage'!$F$2:$F$73
)</f>
        <v>2</v>
      </c>
      <c r="S25" cm="1">
        <f t="array" ref="S25">SUMPRODUCT(
  (('Elimination Rounds'!$L$2:$L$49=L25)*
  (('Elimination Rounds'!$P$2:$P$49&gt;P25)+
  ('Elimination Rounds'!$P$2:$P$49=P25)*('Elimination Rounds'!$Q$2:$Q$49&gt;Q25)+
  ('Elimination Rounds'!$P$2:$P$49=P25)*('Elimination Rounds'!$Q$2:$Q$49=Q25)*('Elimination Rounds'!$R$2:$R$49&gt;R25)))
)+1</f>
        <v>3</v>
      </c>
      <c r="U25" t="str">
        <v>Tunisia</v>
      </c>
      <c r="V25" t="str">
        <v>F</v>
      </c>
      <c r="W25">
        <v>0</v>
      </c>
      <c r="X25">
        <v>0</v>
      </c>
      <c r="Y25">
        <v>3</v>
      </c>
      <c r="Z25">
        <v>0</v>
      </c>
      <c r="AA25">
        <v>-5</v>
      </c>
      <c r="AB25">
        <v>0</v>
      </c>
      <c r="AC25">
        <v>4</v>
      </c>
      <c r="AF25" s="1" t="s">
        <v>88</v>
      </c>
      <c r="AG25" s="1" t="s">
        <v>89</v>
      </c>
      <c r="AH25" s="18" t="s">
        <v>113</v>
      </c>
      <c r="AI25" s="18" t="s">
        <v>43</v>
      </c>
      <c r="AJ25" s="18" t="s">
        <v>83</v>
      </c>
      <c r="AK25" s="18" t="s">
        <v>114</v>
      </c>
      <c r="AL25" s="18" t="s">
        <v>115</v>
      </c>
      <c r="AM25" s="18" t="s">
        <v>117</v>
      </c>
      <c r="AN25" s="18" t="s">
        <v>116</v>
      </c>
    </row>
    <row r="26" spans="1:50" x14ac:dyDescent="0.3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>
        <v>1</v>
      </c>
      <c r="G26" s="10"/>
      <c r="H26" s="10"/>
      <c r="I26" s="10"/>
      <c r="K26" s="2" t="s">
        <v>59</v>
      </c>
      <c r="L26" s="3" t="s">
        <v>58</v>
      </c>
      <c r="M26" cm="1">
        <f t="array" ref="M26">SUMPRODUCT(
  (('Group Stage'!$C$2:$C$73=A26)*('Group Stage'!$E$2:$E$73&gt;'Group Stage'!$F$2:$F$73))+
  (('Group Stage'!$D$2:$D$73=A26)*('Group Stage'!$F$2:$F$73&gt;'Group Stage'!$E$2:$E$73))
)</f>
        <v>3</v>
      </c>
      <c r="N26" cm="1">
        <f t="array" ref="N26">SUMPRODUCT(
  (('Group Stage'!$C$2:$C$73=A26)*('Group Stage'!$E$2:$E$73='Group Stage'!$F$2:$F$73))+
  (('Group Stage'!$D$2:$D$73=A26)*('Group Stage'!$F$2:$F$73='Group Stage'!$E$2:$E$73))
)</f>
        <v>0</v>
      </c>
      <c r="O26" cm="1">
        <f t="array" ref="O26">SUMPRODUCT(
  (('Group Stage'!$C$2:$C$73=A26)*('Group Stage'!$E$2:$E$73&lt;'Group Stage'!$F$2:$F$73))+
  (('Group Stage'!$D$2:$D$73=A26)*('Group Stage'!$F$2:$F$73&lt;'Group Stage'!$E$2:$E$73))
)</f>
        <v>0</v>
      </c>
      <c r="P26" cm="1">
        <f t="array" ref="P26">SUMPRODUCT(
  (('Group Stage'!$C$2:$C$73=A26)*('Group Stage'!$E$2:$E$73&gt;'Group Stage'!$F$2:$F$73))*3+
  (('Group Stage'!$D$2:$D$73=A26)*('Group Stage'!$F$2:$F$73&gt;'Group Stage'!$E$2:$E$73))*3+
  (('Group Stage'!$C$2:$C$73=A26)*('Group Stage'!$E$2:$E$73='Group Stage'!$F$2:$F$73))*1+
  (('Group Stage'!$D$2:$D$73=A26)*('Group Stage'!$F$2:$F$73='Group Stage'!$E$2:$E$73))*1
)</f>
        <v>9</v>
      </c>
      <c r="Q26" cm="1">
        <f t="array" ref="Q26">SUMPRODUCT(
  ('Group Stage'!$C$2:$C$73=A26)*('Group Stage'!$E$2:$E$73-'Group Stage'!$F$2:$F$73)+
  ('Group Stage'!$D$2:$D$73=A26)*('Group Stage'!$F$2:$F$73-'Group Stage'!$E$2:$E$73)
)</f>
        <v>6</v>
      </c>
      <c r="R26" cm="1">
        <f t="array" ref="R26">SUMPRODUCT(
  ('Group Stage'!$C$2:$C$73=A26)*'Group Stage'!$E$2:$E$73+
  ('Group Stage'!$D$2:$D$73=A26)*'Group Stage'!$F$2:$F$73
)</f>
        <v>6</v>
      </c>
      <c r="S26" cm="1">
        <f t="array" ref="S26">SUMPRODUCT(
  (('Elimination Rounds'!$L$2:$L$49=L26)*
  (('Elimination Rounds'!$P$2:$P$49&gt;P26)+
  ('Elimination Rounds'!$P$2:$P$49=P26)*('Elimination Rounds'!$Q$2:$Q$49&gt;Q26)+
  ('Elimination Rounds'!$P$2:$P$49=P26)*('Elimination Rounds'!$Q$2:$Q$49=Q26)*('Elimination Rounds'!$R$2:$R$49&gt;R26)))
)+1</f>
        <v>1</v>
      </c>
      <c r="U26" t="str">
        <v>Belgium</v>
      </c>
      <c r="V26" t="str">
        <v>G</v>
      </c>
      <c r="W26">
        <v>3</v>
      </c>
      <c r="X26">
        <v>0</v>
      </c>
      <c r="Y26">
        <v>0</v>
      </c>
      <c r="Z26">
        <v>9</v>
      </c>
      <c r="AA26">
        <v>6</v>
      </c>
      <c r="AB26">
        <v>6</v>
      </c>
      <c r="AC26">
        <v>1</v>
      </c>
      <c r="AF26" s="2" t="str">
        <f>U18</f>
        <v>Germany</v>
      </c>
      <c r="AG26" s="3" t="str">
        <f t="shared" ref="AG26:AN26" si="81">V18</f>
        <v>E</v>
      </c>
      <c r="AH26" s="3">
        <f t="shared" si="81"/>
        <v>3</v>
      </c>
      <c r="AI26" s="3">
        <f t="shared" si="81"/>
        <v>0</v>
      </c>
      <c r="AJ26" s="3">
        <f t="shared" si="81"/>
        <v>0</v>
      </c>
      <c r="AK26" s="3">
        <f t="shared" si="81"/>
        <v>9</v>
      </c>
      <c r="AL26" s="3">
        <f t="shared" si="81"/>
        <v>5</v>
      </c>
      <c r="AM26" s="3">
        <f t="shared" si="81"/>
        <v>5</v>
      </c>
      <c r="AN26" s="3">
        <f t="shared" si="81"/>
        <v>1</v>
      </c>
    </row>
    <row r="27" spans="1:50" x14ac:dyDescent="0.35">
      <c r="A27" s="2" t="s">
        <v>60</v>
      </c>
      <c r="B27" s="3" t="str">
        <f t="shared" si="0"/>
        <v>G3</v>
      </c>
      <c r="C27" s="3" t="s">
        <v>58</v>
      </c>
      <c r="D27" s="10">
        <v>3</v>
      </c>
      <c r="E27" s="10"/>
      <c r="F27" s="10"/>
      <c r="G27" s="10"/>
      <c r="H27" s="10"/>
      <c r="I27" s="10"/>
      <c r="K27" s="2" t="s">
        <v>60</v>
      </c>
      <c r="L27" s="3" t="s">
        <v>58</v>
      </c>
      <c r="M27" cm="1">
        <f t="array" ref="M27">SUMPRODUCT(
  (('Group Stage'!$C$2:$C$73=A27)*('Group Stage'!$E$2:$E$73&gt;'Group Stage'!$F$2:$F$73))+
  (('Group Stage'!$D$2:$D$73=A27)*('Group Stage'!$F$2:$F$73&gt;'Group Stage'!$E$2:$E$73))
)</f>
        <v>1</v>
      </c>
      <c r="N27" cm="1">
        <f t="array" ref="N27">SUMPRODUCT(
  (('Group Stage'!$C$2:$C$73=A27)*('Group Stage'!$E$2:$E$73='Group Stage'!$F$2:$F$73))+
  (('Group Stage'!$D$2:$D$73=A27)*('Group Stage'!$F$2:$F$73='Group Stage'!$E$2:$E$73))
)</f>
        <v>0</v>
      </c>
      <c r="O27" cm="1">
        <f t="array" ref="O27">SUMPRODUCT(
  (('Group Stage'!$C$2:$C$73=A27)*('Group Stage'!$E$2:$E$73&lt;'Group Stage'!$F$2:$F$73))+
  (('Group Stage'!$D$2:$D$73=A27)*('Group Stage'!$F$2:$F$73&lt;'Group Stage'!$E$2:$E$73))
)</f>
        <v>2</v>
      </c>
      <c r="P27" cm="1">
        <f t="array" ref="P27">SUMPRODUCT(
  (('Group Stage'!$C$2:$C$73=A27)*('Group Stage'!$E$2:$E$73&gt;'Group Stage'!$F$2:$F$73))*3+
  (('Group Stage'!$D$2:$D$73=A27)*('Group Stage'!$F$2:$F$73&gt;'Group Stage'!$E$2:$E$73))*3+
  (('Group Stage'!$C$2:$C$73=A27)*('Group Stage'!$E$2:$E$73='Group Stage'!$F$2:$F$73))*1+
  (('Group Stage'!$D$2:$D$73=A27)*('Group Stage'!$F$2:$F$73='Group Stage'!$E$2:$E$73))*1
)</f>
        <v>3</v>
      </c>
      <c r="Q27" cm="1">
        <f t="array" ref="Q27">SUMPRODUCT(
  ('Group Stage'!$C$2:$C$73=A27)*('Group Stage'!$E$2:$E$73-'Group Stage'!$F$2:$F$73)+
  ('Group Stage'!$D$2:$D$73=A27)*('Group Stage'!$F$2:$F$73-'Group Stage'!$E$2:$E$73)
)</f>
        <v>-2</v>
      </c>
      <c r="R27" cm="1">
        <f t="array" ref="R27">SUMPRODUCT(
  ('Group Stage'!$C$2:$C$73=A27)*'Group Stage'!$E$2:$E$73+
  ('Group Stage'!$D$2:$D$73=A27)*'Group Stage'!$F$2:$F$73
)</f>
        <v>1</v>
      </c>
      <c r="S27" cm="1">
        <f t="array" ref="S27">SUMPRODUCT(
  (('Elimination Rounds'!$L$2:$L$49=L27)*
  (('Elimination Rounds'!$P$2:$P$49&gt;P27)+
  ('Elimination Rounds'!$P$2:$P$49=P27)*('Elimination Rounds'!$Q$2:$Q$49&gt;Q27)+
  ('Elimination Rounds'!$P$2:$P$49=P27)*('Elimination Rounds'!$Q$2:$Q$49=Q27)*('Elimination Rounds'!$R$2:$R$49&gt;R27)))
)+1</f>
        <v>3</v>
      </c>
      <c r="U27" t="str">
        <v>Egypt</v>
      </c>
      <c r="V27" t="str">
        <v>G</v>
      </c>
      <c r="W27">
        <v>2</v>
      </c>
      <c r="X27">
        <v>0</v>
      </c>
      <c r="Y27">
        <v>1</v>
      </c>
      <c r="Z27">
        <v>6</v>
      </c>
      <c r="AA27">
        <v>0</v>
      </c>
      <c r="AB27">
        <v>2</v>
      </c>
      <c r="AC27">
        <v>2</v>
      </c>
      <c r="AF27" s="2" t="str">
        <f t="shared" ref="AF27:AF29" si="82">U19</f>
        <v>Ecuador</v>
      </c>
      <c r="AG27" s="3" t="str">
        <f t="shared" ref="AG27:AG29" si="83">V19</f>
        <v>E</v>
      </c>
      <c r="AH27" s="3">
        <f t="shared" ref="AH27:AH29" si="84">W19</f>
        <v>1</v>
      </c>
      <c r="AI27" s="3">
        <f t="shared" ref="AI27:AI29" si="85">X19</f>
        <v>1</v>
      </c>
      <c r="AJ27" s="3">
        <f t="shared" ref="AJ27:AJ29" si="86">Y19</f>
        <v>1</v>
      </c>
      <c r="AK27" s="3">
        <f t="shared" ref="AK27:AK29" si="87">Z19</f>
        <v>4</v>
      </c>
      <c r="AL27" s="3">
        <f t="shared" ref="AL27:AL29" si="88">AA19</f>
        <v>1</v>
      </c>
      <c r="AM27" s="3">
        <f t="shared" ref="AM27:AM29" si="89">AB19</f>
        <v>3</v>
      </c>
      <c r="AN27" s="3">
        <f t="shared" ref="AN27:AN29" si="90">AC19</f>
        <v>2</v>
      </c>
    </row>
    <row r="28" spans="1:50" x14ac:dyDescent="0.35">
      <c r="A28" s="2" t="s">
        <v>61</v>
      </c>
      <c r="B28" s="3" t="str">
        <f t="shared" si="0"/>
        <v>G2</v>
      </c>
      <c r="C28" s="3" t="s">
        <v>58</v>
      </c>
      <c r="D28" s="10">
        <v>2</v>
      </c>
      <c r="E28" s="10"/>
      <c r="F28" s="10"/>
      <c r="G28" s="10"/>
      <c r="H28" s="10"/>
      <c r="I28" s="10"/>
      <c r="K28" s="2" t="s">
        <v>61</v>
      </c>
      <c r="L28" s="3" t="s">
        <v>58</v>
      </c>
      <c r="M28" cm="1">
        <f t="array" ref="M28">SUMPRODUCT(
  (('Group Stage'!$C$2:$C$73=A28)*('Group Stage'!$E$2:$E$73&gt;'Group Stage'!$F$2:$F$73))+
  (('Group Stage'!$D$2:$D$73=A28)*('Group Stage'!$F$2:$F$73&gt;'Group Stage'!$E$2:$E$73))
)</f>
        <v>2</v>
      </c>
      <c r="N28" cm="1">
        <f t="array" ref="N28">SUMPRODUCT(
  (('Group Stage'!$C$2:$C$73=A28)*('Group Stage'!$E$2:$E$73='Group Stage'!$F$2:$F$73))+
  (('Group Stage'!$D$2:$D$73=A28)*('Group Stage'!$F$2:$F$73='Group Stage'!$E$2:$E$73))
)</f>
        <v>0</v>
      </c>
      <c r="O28" cm="1">
        <f t="array" ref="O28">SUMPRODUCT(
  (('Group Stage'!$C$2:$C$73=A28)*('Group Stage'!$E$2:$E$73&lt;'Group Stage'!$F$2:$F$73))+
  (('Group Stage'!$D$2:$D$73=A28)*('Group Stage'!$F$2:$F$73&lt;'Group Stage'!$E$2:$E$73))
)</f>
        <v>1</v>
      </c>
      <c r="P28" cm="1">
        <f t="array" ref="P28">SUMPRODUCT(
  (('Group Stage'!$C$2:$C$73=A28)*('Group Stage'!$E$2:$E$73&gt;'Group Stage'!$F$2:$F$73))*3+
  (('Group Stage'!$D$2:$D$73=A28)*('Group Stage'!$F$2:$F$73&gt;'Group Stage'!$E$2:$E$73))*3+
  (('Group Stage'!$C$2:$C$73=A28)*('Group Stage'!$E$2:$E$73='Group Stage'!$F$2:$F$73))*1+
  (('Group Stage'!$D$2:$D$73=A28)*('Group Stage'!$F$2:$F$73='Group Stage'!$E$2:$E$73))*1
)</f>
        <v>6</v>
      </c>
      <c r="Q28" cm="1">
        <f t="array" ref="Q28">SUMPRODUCT(
  ('Group Stage'!$C$2:$C$73=A28)*('Group Stage'!$E$2:$E$73-'Group Stage'!$F$2:$F$73)+
  ('Group Stage'!$D$2:$D$73=A28)*('Group Stage'!$F$2:$F$73-'Group Stage'!$E$2:$E$73)
)</f>
        <v>0</v>
      </c>
      <c r="R28" cm="1">
        <f t="array" ref="R28">SUMPRODUCT(
  ('Group Stage'!$C$2:$C$73=A28)*'Group Stage'!$E$2:$E$73+
  ('Group Stage'!$D$2:$D$73=A28)*'Group Stage'!$F$2:$F$73
)</f>
        <v>2</v>
      </c>
      <c r="S28" cm="1">
        <f t="array" ref="S28">SUMPRODUCT(
  (('Elimination Rounds'!$L$2:$L$49=L28)*
  (('Elimination Rounds'!$P$2:$P$49&gt;P28)+
  ('Elimination Rounds'!$P$2:$P$49=P28)*('Elimination Rounds'!$Q$2:$Q$49&gt;Q28)+
  ('Elimination Rounds'!$P$2:$P$49=P28)*('Elimination Rounds'!$Q$2:$Q$49=Q28)*('Elimination Rounds'!$R$2:$R$49&gt;R28)))
)+1</f>
        <v>2</v>
      </c>
      <c r="U28" t="str">
        <v>Iran</v>
      </c>
      <c r="V28" t="str">
        <v>G</v>
      </c>
      <c r="W28">
        <v>1</v>
      </c>
      <c r="X28">
        <v>0</v>
      </c>
      <c r="Y28">
        <v>2</v>
      </c>
      <c r="Z28">
        <v>3</v>
      </c>
      <c r="AA28">
        <v>-2</v>
      </c>
      <c r="AB28">
        <v>1</v>
      </c>
      <c r="AC28">
        <v>3</v>
      </c>
      <c r="AF28" s="2" t="str">
        <f t="shared" si="82"/>
        <v>Ivory Coast</v>
      </c>
      <c r="AG28" s="3" t="str">
        <f t="shared" si="83"/>
        <v>E</v>
      </c>
      <c r="AH28" s="3">
        <f t="shared" si="84"/>
        <v>1</v>
      </c>
      <c r="AI28" s="3">
        <f t="shared" si="85"/>
        <v>1</v>
      </c>
      <c r="AJ28" s="3">
        <f t="shared" si="86"/>
        <v>1</v>
      </c>
      <c r="AK28" s="3">
        <f t="shared" si="87"/>
        <v>4</v>
      </c>
      <c r="AL28" s="3">
        <f t="shared" si="88"/>
        <v>0</v>
      </c>
      <c r="AM28" s="3">
        <f t="shared" si="89"/>
        <v>3</v>
      </c>
      <c r="AN28" s="3">
        <f t="shared" si="90"/>
        <v>3</v>
      </c>
    </row>
    <row r="29" spans="1:50" x14ac:dyDescent="0.35">
      <c r="A29" s="2" t="s">
        <v>62</v>
      </c>
      <c r="B29" s="3" t="str">
        <f t="shared" si="0"/>
        <v>G4</v>
      </c>
      <c r="C29" s="3" t="s">
        <v>58</v>
      </c>
      <c r="D29" s="10">
        <v>4</v>
      </c>
      <c r="E29" s="10"/>
      <c r="F29" s="10"/>
      <c r="G29" s="10"/>
      <c r="H29" s="10"/>
      <c r="I29" s="10"/>
      <c r="K29" s="2" t="s">
        <v>62</v>
      </c>
      <c r="L29" s="3" t="s">
        <v>58</v>
      </c>
      <c r="M29" cm="1">
        <f t="array" ref="M29">SUMPRODUCT(
  (('Group Stage'!$C$2:$C$73=A29)*('Group Stage'!$E$2:$E$73&gt;'Group Stage'!$F$2:$F$73))+
  (('Group Stage'!$D$2:$D$73=A29)*('Group Stage'!$F$2:$F$73&gt;'Group Stage'!$E$2:$E$73))
)</f>
        <v>0</v>
      </c>
      <c r="N29" cm="1">
        <f t="array" ref="N29">SUMPRODUCT(
  (('Group Stage'!$C$2:$C$73=A29)*('Group Stage'!$E$2:$E$73='Group Stage'!$F$2:$F$73))+
  (('Group Stage'!$D$2:$D$73=A29)*('Group Stage'!$F$2:$F$73='Group Stage'!$E$2:$E$73))
)</f>
        <v>0</v>
      </c>
      <c r="O29" cm="1">
        <f t="array" ref="O29">SUMPRODUCT(
  (('Group Stage'!$C$2:$C$73=A29)*('Group Stage'!$E$2:$E$73&lt;'Group Stage'!$F$2:$F$73))+
  (('Group Stage'!$D$2:$D$73=A29)*('Group Stage'!$F$2:$F$73&lt;'Group Stage'!$E$2:$E$73))
)</f>
        <v>3</v>
      </c>
      <c r="P29" cm="1">
        <f t="array" ref="P29">SUMPRODUCT(
  (('Group Stage'!$C$2:$C$73=A29)*('Group Stage'!$E$2:$E$73&gt;'Group Stage'!$F$2:$F$73))*3+
  (('Group Stage'!$D$2:$D$73=A29)*('Group Stage'!$F$2:$F$73&gt;'Group Stage'!$E$2:$E$73))*3+
  (('Group Stage'!$C$2:$C$73=A29)*('Group Stage'!$E$2:$E$73='Group Stage'!$F$2:$F$73))*1+
  (('Group Stage'!$D$2:$D$73=A29)*('Group Stage'!$F$2:$F$73='Group Stage'!$E$2:$E$73))*1
)</f>
        <v>0</v>
      </c>
      <c r="Q29" cm="1">
        <f t="array" ref="Q29">SUMPRODUCT(
  ('Group Stage'!$C$2:$C$73=A29)*('Group Stage'!$E$2:$E$73-'Group Stage'!$F$2:$F$73)+
  ('Group Stage'!$D$2:$D$73=A29)*('Group Stage'!$F$2:$F$73-'Group Stage'!$E$2:$E$73)
)</f>
        <v>-4</v>
      </c>
      <c r="R29" cm="1">
        <f t="array" ref="R29">SUMPRODUCT(
  ('Group Stage'!$C$2:$C$73=A29)*'Group Stage'!$E$2:$E$73+
  ('Group Stage'!$D$2:$D$73=A29)*'Group Stage'!$F$2:$F$73
)</f>
        <v>0</v>
      </c>
      <c r="S29" cm="1">
        <f t="array" ref="S29">SUMPRODUCT(
  (('Elimination Rounds'!$L$2:$L$49=L29)*
  (('Elimination Rounds'!$P$2:$P$49&gt;P29)+
  ('Elimination Rounds'!$P$2:$P$49=P29)*('Elimination Rounds'!$Q$2:$Q$49&gt;Q29)+
  ('Elimination Rounds'!$P$2:$P$49=P29)*('Elimination Rounds'!$Q$2:$Q$49=Q29)*('Elimination Rounds'!$R$2:$R$49&gt;R29)))
)+1</f>
        <v>4</v>
      </c>
      <c r="U29" t="str">
        <v>New Zealand</v>
      </c>
      <c r="V29" t="str">
        <v>G</v>
      </c>
      <c r="W29">
        <v>0</v>
      </c>
      <c r="X29">
        <v>0</v>
      </c>
      <c r="Y29">
        <v>3</v>
      </c>
      <c r="Z29">
        <v>0</v>
      </c>
      <c r="AA29">
        <v>-4</v>
      </c>
      <c r="AB29">
        <v>0</v>
      </c>
      <c r="AC29">
        <v>4</v>
      </c>
      <c r="AF29" s="2" t="str">
        <f t="shared" si="82"/>
        <v>Curacao</v>
      </c>
      <c r="AG29" s="3" t="str">
        <f t="shared" si="83"/>
        <v>E</v>
      </c>
      <c r="AH29" s="3">
        <f t="shared" si="84"/>
        <v>0</v>
      </c>
      <c r="AI29" s="3">
        <f t="shared" si="85"/>
        <v>0</v>
      </c>
      <c r="AJ29" s="3">
        <f t="shared" si="86"/>
        <v>3</v>
      </c>
      <c r="AK29" s="3">
        <f t="shared" si="87"/>
        <v>0</v>
      </c>
      <c r="AL29" s="3">
        <f t="shared" si="88"/>
        <v>-6</v>
      </c>
      <c r="AM29" s="3">
        <f t="shared" si="89"/>
        <v>0</v>
      </c>
      <c r="AN29" s="3">
        <f t="shared" si="90"/>
        <v>4</v>
      </c>
    </row>
    <row r="30" spans="1:50" x14ac:dyDescent="0.3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>
        <v>1</v>
      </c>
      <c r="F30" s="10">
        <v>1</v>
      </c>
      <c r="G30" s="10">
        <v>1</v>
      </c>
      <c r="H30" s="10"/>
      <c r="I30" s="10"/>
      <c r="K30" s="2" t="s">
        <v>64</v>
      </c>
      <c r="L30" s="3" t="s">
        <v>63</v>
      </c>
      <c r="M30" cm="1">
        <f t="array" ref="M30">SUMPRODUCT(
  (('Group Stage'!$C$2:$C$73=A30)*('Group Stage'!$E$2:$E$73&gt;'Group Stage'!$F$2:$F$73))+
  (('Group Stage'!$D$2:$D$73=A30)*('Group Stage'!$F$2:$F$73&gt;'Group Stage'!$E$2:$E$73))
)</f>
        <v>3</v>
      </c>
      <c r="N30" cm="1">
        <f t="array" ref="N30">SUMPRODUCT(
  (('Group Stage'!$C$2:$C$73=A30)*('Group Stage'!$E$2:$E$73='Group Stage'!$F$2:$F$73))+
  (('Group Stage'!$D$2:$D$73=A30)*('Group Stage'!$F$2:$F$73='Group Stage'!$E$2:$E$73))
)</f>
        <v>0</v>
      </c>
      <c r="O30" cm="1">
        <f t="array" ref="O30">SUMPRODUCT(
  (('Group Stage'!$C$2:$C$73=A30)*('Group Stage'!$E$2:$E$73&lt;'Group Stage'!$F$2:$F$73))+
  (('Group Stage'!$D$2:$D$73=A30)*('Group Stage'!$F$2:$F$73&lt;'Group Stage'!$E$2:$E$73))
)</f>
        <v>0</v>
      </c>
      <c r="P30" cm="1">
        <f t="array" ref="P30">SUMPRODUCT(
  (('Group Stage'!$C$2:$C$73=A30)*('Group Stage'!$E$2:$E$73&gt;'Group Stage'!$F$2:$F$73))*3+
  (('Group Stage'!$D$2:$D$73=A30)*('Group Stage'!$F$2:$F$73&gt;'Group Stage'!$E$2:$E$73))*3+
  (('Group Stage'!$C$2:$C$73=A30)*('Group Stage'!$E$2:$E$73='Group Stage'!$F$2:$F$73))*1+
  (('Group Stage'!$D$2:$D$73=A30)*('Group Stage'!$F$2:$F$73='Group Stage'!$E$2:$E$73))*1
)</f>
        <v>9</v>
      </c>
      <c r="Q30" cm="1">
        <f t="array" ref="Q30">SUMPRODUCT(
  ('Group Stage'!$C$2:$C$73=A30)*('Group Stage'!$E$2:$E$73-'Group Stage'!$F$2:$F$73)+
  ('Group Stage'!$D$2:$D$73=A30)*('Group Stage'!$F$2:$F$73-'Group Stage'!$E$2:$E$73)
)</f>
        <v>6</v>
      </c>
      <c r="R30" cm="1">
        <f t="array" ref="R30">SUMPRODUCT(
  ('Group Stage'!$C$2:$C$73=A30)*'Group Stage'!$E$2:$E$73+
  ('Group Stage'!$D$2:$D$73=A30)*'Group Stage'!$F$2:$F$73
)</f>
        <v>6</v>
      </c>
      <c r="S30" cm="1">
        <f t="array" ref="S30">SUMPRODUCT(
  (('Elimination Rounds'!$L$2:$L$49=L30)*
  (('Elimination Rounds'!$P$2:$P$49&gt;P30)+
  ('Elimination Rounds'!$P$2:$P$49=P30)*('Elimination Rounds'!$Q$2:$Q$49&gt;Q30)+
  ('Elimination Rounds'!$P$2:$P$49=P30)*('Elimination Rounds'!$Q$2:$Q$49=Q30)*('Elimination Rounds'!$R$2:$R$49&gt;R30)))
)+1</f>
        <v>1</v>
      </c>
      <c r="U30" t="str">
        <v>Spain</v>
      </c>
      <c r="V30" t="str">
        <v>H</v>
      </c>
      <c r="W30">
        <v>3</v>
      </c>
      <c r="X30">
        <v>0</v>
      </c>
      <c r="Y30">
        <v>0</v>
      </c>
      <c r="Z30">
        <v>9</v>
      </c>
      <c r="AA30">
        <v>6</v>
      </c>
      <c r="AB30">
        <v>6</v>
      </c>
      <c r="AC30">
        <v>1</v>
      </c>
    </row>
    <row r="31" spans="1:50" x14ac:dyDescent="0.3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/>
      <c r="F31" s="10"/>
      <c r="G31" s="10"/>
      <c r="H31" s="10"/>
      <c r="I31" s="10"/>
      <c r="K31" s="2" t="s">
        <v>65</v>
      </c>
      <c r="L31" s="3" t="s">
        <v>63</v>
      </c>
      <c r="M31" cm="1">
        <f t="array" ref="M31">SUMPRODUCT(
  (('Group Stage'!$C$2:$C$73=A31)*('Group Stage'!$E$2:$E$73&gt;'Group Stage'!$F$2:$F$73))+
  (('Group Stage'!$D$2:$D$73=A31)*('Group Stage'!$F$2:$F$73&gt;'Group Stage'!$E$2:$E$73))
)</f>
        <v>2</v>
      </c>
      <c r="N31" cm="1">
        <f t="array" ref="N31">SUMPRODUCT(
  (('Group Stage'!$C$2:$C$73=A31)*('Group Stage'!$E$2:$E$73='Group Stage'!$F$2:$F$73))+
  (('Group Stage'!$D$2:$D$73=A31)*('Group Stage'!$F$2:$F$73='Group Stage'!$E$2:$E$73))
)</f>
        <v>0</v>
      </c>
      <c r="O31" cm="1">
        <f t="array" ref="O31">SUMPRODUCT(
  (('Group Stage'!$C$2:$C$73=A31)*('Group Stage'!$E$2:$E$73&lt;'Group Stage'!$F$2:$F$73))+
  (('Group Stage'!$D$2:$D$73=A31)*('Group Stage'!$F$2:$F$73&lt;'Group Stage'!$E$2:$E$73))
)</f>
        <v>1</v>
      </c>
      <c r="P31" cm="1">
        <f t="array" ref="P31">SUMPRODUCT(
  (('Group Stage'!$C$2:$C$73=A31)*('Group Stage'!$E$2:$E$73&gt;'Group Stage'!$F$2:$F$73))*3+
  (('Group Stage'!$D$2:$D$73=A31)*('Group Stage'!$F$2:$F$73&gt;'Group Stage'!$E$2:$E$73))*3+
  (('Group Stage'!$C$2:$C$73=A31)*('Group Stage'!$E$2:$E$73='Group Stage'!$F$2:$F$73))*1+
  (('Group Stage'!$D$2:$D$73=A31)*('Group Stage'!$F$2:$F$73='Group Stage'!$E$2:$E$73))*1
)</f>
        <v>6</v>
      </c>
      <c r="Q31" cm="1">
        <f t="array" ref="Q31">SUMPRODUCT(
  ('Group Stage'!$C$2:$C$73=A31)*('Group Stage'!$E$2:$E$73-'Group Stage'!$F$2:$F$73)+
  ('Group Stage'!$D$2:$D$73=A31)*('Group Stage'!$F$2:$F$73-'Group Stage'!$E$2:$E$73)
)</f>
        <v>3</v>
      </c>
      <c r="R31" cm="1">
        <f t="array" ref="R31">SUMPRODUCT(
  ('Group Stage'!$C$2:$C$73=A31)*'Group Stage'!$E$2:$E$73+
  ('Group Stage'!$D$2:$D$73=A31)*'Group Stage'!$F$2:$F$73
)</f>
        <v>4</v>
      </c>
      <c r="S31" cm="1">
        <f t="array" ref="S31">SUMPRODUCT(
  (('Elimination Rounds'!$L$2:$L$49=L31)*
  (('Elimination Rounds'!$P$2:$P$49&gt;P31)+
  ('Elimination Rounds'!$P$2:$P$49=P31)*('Elimination Rounds'!$Q$2:$Q$49&gt;Q31)+
  ('Elimination Rounds'!$P$2:$P$49=P31)*('Elimination Rounds'!$Q$2:$Q$49=Q31)*('Elimination Rounds'!$R$2:$R$49&gt;R31)))
)+1</f>
        <v>2</v>
      </c>
      <c r="U31" t="str">
        <v>Uruguay</v>
      </c>
      <c r="V31" t="str">
        <v>H</v>
      </c>
      <c r="W31">
        <v>2</v>
      </c>
      <c r="X31">
        <v>0</v>
      </c>
      <c r="Y31">
        <v>1</v>
      </c>
      <c r="Z31">
        <v>6</v>
      </c>
      <c r="AA31">
        <v>3</v>
      </c>
      <c r="AB31">
        <v>4</v>
      </c>
      <c r="AC31">
        <v>2</v>
      </c>
      <c r="AF31" s="1" t="s">
        <v>88</v>
      </c>
      <c r="AG31" s="1" t="s">
        <v>89</v>
      </c>
      <c r="AH31" s="18" t="s">
        <v>113</v>
      </c>
      <c r="AI31" s="18" t="s">
        <v>43</v>
      </c>
      <c r="AJ31" s="18" t="s">
        <v>83</v>
      </c>
      <c r="AK31" s="18" t="s">
        <v>114</v>
      </c>
      <c r="AL31" s="18" t="s">
        <v>115</v>
      </c>
      <c r="AM31" s="18" t="s">
        <v>117</v>
      </c>
      <c r="AN31" s="18" t="s">
        <v>116</v>
      </c>
    </row>
    <row r="32" spans="1:50" x14ac:dyDescent="0.35">
      <c r="A32" s="2" t="s">
        <v>66</v>
      </c>
      <c r="B32" s="3" t="str">
        <f t="shared" si="0"/>
        <v>H4</v>
      </c>
      <c r="C32" s="3" t="s">
        <v>63</v>
      </c>
      <c r="D32" s="10">
        <v>4</v>
      </c>
      <c r="E32" s="10"/>
      <c r="F32" s="10"/>
      <c r="G32" s="10"/>
      <c r="H32" s="10"/>
      <c r="I32" s="10"/>
      <c r="K32" s="2" t="s">
        <v>66</v>
      </c>
      <c r="L32" s="3" t="s">
        <v>63</v>
      </c>
      <c r="M32" cm="1">
        <f t="array" ref="M32">SUMPRODUCT(
  (('Group Stage'!$C$2:$C$73=A32)*('Group Stage'!$E$2:$E$73&gt;'Group Stage'!$F$2:$F$73))+
  (('Group Stage'!$D$2:$D$73=A32)*('Group Stage'!$F$2:$F$73&gt;'Group Stage'!$E$2:$E$73))
)</f>
        <v>0</v>
      </c>
      <c r="N32" cm="1">
        <f t="array" ref="N32">SUMPRODUCT(
  (('Group Stage'!$C$2:$C$73=A32)*('Group Stage'!$E$2:$E$73='Group Stage'!$F$2:$F$73))+
  (('Group Stage'!$D$2:$D$73=A32)*('Group Stage'!$F$2:$F$73='Group Stage'!$E$2:$E$73))
)</f>
        <v>1</v>
      </c>
      <c r="O32" cm="1">
        <f t="array" ref="O32">SUMPRODUCT(
  (('Group Stage'!$C$2:$C$73=A32)*('Group Stage'!$E$2:$E$73&lt;'Group Stage'!$F$2:$F$73))+
  (('Group Stage'!$D$2:$D$73=A32)*('Group Stage'!$F$2:$F$73&lt;'Group Stage'!$E$2:$E$73))
)</f>
        <v>2</v>
      </c>
      <c r="P32" cm="1">
        <f t="array" ref="P32">SUMPRODUCT(
  (('Group Stage'!$C$2:$C$73=A32)*('Group Stage'!$E$2:$E$73&gt;'Group Stage'!$F$2:$F$73))*3+
  (('Group Stage'!$D$2:$D$73=A32)*('Group Stage'!$F$2:$F$73&gt;'Group Stage'!$E$2:$E$73))*3+
  (('Group Stage'!$C$2:$C$73=A32)*('Group Stage'!$E$2:$E$73='Group Stage'!$F$2:$F$73))*1+
  (('Group Stage'!$D$2:$D$73=A32)*('Group Stage'!$F$2:$F$73='Group Stage'!$E$2:$E$73))*1
)</f>
        <v>1</v>
      </c>
      <c r="Q32" cm="1">
        <f t="array" ref="Q32">SUMPRODUCT(
  ('Group Stage'!$C$2:$C$73=A32)*('Group Stage'!$E$2:$E$73-'Group Stage'!$F$2:$F$73)+
  ('Group Stage'!$D$2:$D$73=A32)*('Group Stage'!$F$2:$F$73-'Group Stage'!$E$2:$E$73)
)</f>
        <v>-5</v>
      </c>
      <c r="R32" cm="1">
        <f t="array" ref="R32">SUMPRODUCT(
  ('Group Stage'!$C$2:$C$73=A32)*'Group Stage'!$E$2:$E$73+
  ('Group Stage'!$D$2:$D$73=A32)*'Group Stage'!$F$2:$F$73
)</f>
        <v>0</v>
      </c>
      <c r="S32" cm="1">
        <f t="array" ref="S32">SUMPRODUCT(
  (('Elimination Rounds'!$L$2:$L$49=L32)*
  (('Elimination Rounds'!$P$2:$P$49&gt;P32)+
  ('Elimination Rounds'!$P$2:$P$49=P32)*('Elimination Rounds'!$Q$2:$Q$49&gt;Q32)+
  ('Elimination Rounds'!$P$2:$P$49=P32)*('Elimination Rounds'!$Q$2:$Q$49=Q32)*('Elimination Rounds'!$R$2:$R$49&gt;R32)))
)+1</f>
        <v>4</v>
      </c>
      <c r="U32" t="str">
        <v>Cape Verde</v>
      </c>
      <c r="V32" t="str">
        <v>H</v>
      </c>
      <c r="W32">
        <v>0</v>
      </c>
      <c r="X32">
        <v>1</v>
      </c>
      <c r="Y32">
        <v>2</v>
      </c>
      <c r="Z32">
        <v>1</v>
      </c>
      <c r="AA32">
        <v>-4</v>
      </c>
      <c r="AB32">
        <v>0</v>
      </c>
      <c r="AC32">
        <v>3</v>
      </c>
      <c r="AF32" s="2" t="str">
        <f>U22</f>
        <v>Netherlands</v>
      </c>
      <c r="AG32" s="3" t="str">
        <f t="shared" ref="AG32:AN32" si="91">V22</f>
        <v>F</v>
      </c>
      <c r="AH32" s="3">
        <f t="shared" si="91"/>
        <v>3</v>
      </c>
      <c r="AI32" s="3">
        <f t="shared" si="91"/>
        <v>0</v>
      </c>
      <c r="AJ32" s="3">
        <f t="shared" si="91"/>
        <v>0</v>
      </c>
      <c r="AK32" s="3">
        <f t="shared" si="91"/>
        <v>9</v>
      </c>
      <c r="AL32" s="3">
        <f t="shared" si="91"/>
        <v>4</v>
      </c>
      <c r="AM32" s="3">
        <f t="shared" si="91"/>
        <v>4</v>
      </c>
      <c r="AN32" s="3">
        <f t="shared" si="91"/>
        <v>1</v>
      </c>
    </row>
    <row r="33" spans="1:40" x14ac:dyDescent="0.35">
      <c r="A33" s="2" t="s">
        <v>67</v>
      </c>
      <c r="B33" s="3" t="str">
        <f t="shared" si="0"/>
        <v>H3</v>
      </c>
      <c r="C33" s="3" t="s">
        <v>63</v>
      </c>
      <c r="D33" s="10">
        <v>3</v>
      </c>
      <c r="E33" s="10"/>
      <c r="F33" s="10"/>
      <c r="G33" s="10"/>
      <c r="H33" s="10"/>
      <c r="I33" s="10"/>
      <c r="K33" s="2" t="s">
        <v>67</v>
      </c>
      <c r="L33" s="3" t="s">
        <v>63</v>
      </c>
      <c r="M33" cm="1">
        <f t="array" ref="M33">SUMPRODUCT(
  (('Group Stage'!$C$2:$C$73=A33)*('Group Stage'!$E$2:$E$73&gt;'Group Stage'!$F$2:$F$73))+
  (('Group Stage'!$D$2:$D$73=A33)*('Group Stage'!$F$2:$F$73&gt;'Group Stage'!$E$2:$E$73))
)</f>
        <v>0</v>
      </c>
      <c r="N33" cm="1">
        <f t="array" ref="N33">SUMPRODUCT(
  (('Group Stage'!$C$2:$C$73=A33)*('Group Stage'!$E$2:$E$73='Group Stage'!$F$2:$F$73))+
  (('Group Stage'!$D$2:$D$73=A33)*('Group Stage'!$F$2:$F$73='Group Stage'!$E$2:$E$73))
)</f>
        <v>1</v>
      </c>
      <c r="O33" cm="1">
        <f t="array" ref="O33">SUMPRODUCT(
  (('Group Stage'!$C$2:$C$73=A33)*('Group Stage'!$E$2:$E$73&lt;'Group Stage'!$F$2:$F$73))+
  (('Group Stage'!$D$2:$D$73=A33)*('Group Stage'!$F$2:$F$73&lt;'Group Stage'!$E$2:$E$73))
)</f>
        <v>2</v>
      </c>
      <c r="P33" cm="1">
        <f t="array" ref="P33">SUMPRODUCT(
  (('Group Stage'!$C$2:$C$73=A33)*('Group Stage'!$E$2:$E$73&gt;'Group Stage'!$F$2:$F$73))*3+
  (('Group Stage'!$D$2:$D$73=A33)*('Group Stage'!$F$2:$F$73&gt;'Group Stage'!$E$2:$E$73))*3+
  (('Group Stage'!$C$2:$C$73=A33)*('Group Stage'!$E$2:$E$73='Group Stage'!$F$2:$F$73))*1+
  (('Group Stage'!$D$2:$D$73=A33)*('Group Stage'!$F$2:$F$73='Group Stage'!$E$2:$E$73))*1
)</f>
        <v>1</v>
      </c>
      <c r="Q33" cm="1">
        <f t="array" ref="Q33">SUMPRODUCT(
  ('Group Stage'!$C$2:$C$73=A33)*('Group Stage'!$E$2:$E$73-'Group Stage'!$F$2:$F$73)+
  ('Group Stage'!$D$2:$D$73=A33)*('Group Stage'!$F$2:$F$73-'Group Stage'!$E$2:$E$73)
)</f>
        <v>-4</v>
      </c>
      <c r="R33" cm="1">
        <f t="array" ref="R33">SUMPRODUCT(
  ('Group Stage'!$C$2:$C$73=A33)*'Group Stage'!$E$2:$E$73+
  ('Group Stage'!$D$2:$D$73=A33)*'Group Stage'!$F$2:$F$73
)</f>
        <v>0</v>
      </c>
      <c r="S33" cm="1">
        <f t="array" ref="S33">SUMPRODUCT(
  (('Elimination Rounds'!$L$2:$L$49=L33)*
  (('Elimination Rounds'!$P$2:$P$49&gt;P33)+
  ('Elimination Rounds'!$P$2:$P$49=P33)*('Elimination Rounds'!$Q$2:$Q$49&gt;Q33)+
  ('Elimination Rounds'!$P$2:$P$49=P33)*('Elimination Rounds'!$Q$2:$Q$49=Q33)*('Elimination Rounds'!$R$2:$R$49&gt;R33)))
)+1</f>
        <v>3</v>
      </c>
      <c r="U33" t="str">
        <v>Saudi Arabia</v>
      </c>
      <c r="V33" t="str">
        <v>H</v>
      </c>
      <c r="W33">
        <v>0</v>
      </c>
      <c r="X33">
        <v>1</v>
      </c>
      <c r="Y33">
        <v>2</v>
      </c>
      <c r="Z33">
        <v>1</v>
      </c>
      <c r="AA33">
        <v>-5</v>
      </c>
      <c r="AB33">
        <v>0</v>
      </c>
      <c r="AC33">
        <v>4</v>
      </c>
      <c r="AF33" s="2" t="str">
        <f t="shared" ref="AF33:AF35" si="92">U23</f>
        <v>Japan</v>
      </c>
      <c r="AG33" s="3" t="str">
        <f t="shared" ref="AG33:AG35" si="93">V23</f>
        <v>F</v>
      </c>
      <c r="AH33" s="3">
        <f t="shared" ref="AH33:AH35" si="94">W23</f>
        <v>1</v>
      </c>
      <c r="AI33" s="3">
        <f t="shared" ref="AI33:AI35" si="95">X23</f>
        <v>1</v>
      </c>
      <c r="AJ33" s="3">
        <f t="shared" ref="AJ33:AJ35" si="96">Y23</f>
        <v>1</v>
      </c>
      <c r="AK33" s="3">
        <f t="shared" ref="AK33:AK35" si="97">Z23</f>
        <v>4</v>
      </c>
      <c r="AL33" s="3">
        <f t="shared" ref="AL33:AL35" si="98">AA23</f>
        <v>1</v>
      </c>
      <c r="AM33" s="3">
        <f t="shared" ref="AM33:AM35" si="99">AB23</f>
        <v>3</v>
      </c>
      <c r="AN33" s="3">
        <f t="shared" ref="AN33:AN35" si="100">AC23</f>
        <v>2</v>
      </c>
    </row>
    <row r="34" spans="1:40" x14ac:dyDescent="0.35">
      <c r="A34" s="2" t="s">
        <v>69</v>
      </c>
      <c r="B34" s="3" t="str">
        <f t="shared" si="0"/>
        <v>I1</v>
      </c>
      <c r="C34" s="3" t="s">
        <v>68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K34" s="2" t="s">
        <v>69</v>
      </c>
      <c r="L34" s="3" t="s">
        <v>68</v>
      </c>
      <c r="M34" cm="1">
        <f t="array" ref="M34">SUMPRODUCT(
  (('Group Stage'!$C$2:$C$73=A34)*('Group Stage'!$E$2:$E$73&gt;'Group Stage'!$F$2:$F$73))+
  (('Group Stage'!$D$2:$D$73=A34)*('Group Stage'!$F$2:$F$73&gt;'Group Stage'!$E$2:$E$73))
)</f>
        <v>3</v>
      </c>
      <c r="N34" cm="1">
        <f t="array" ref="N34">SUMPRODUCT(
  (('Group Stage'!$C$2:$C$73=A34)*('Group Stage'!$E$2:$E$73='Group Stage'!$F$2:$F$73))+
  (('Group Stage'!$D$2:$D$73=A34)*('Group Stage'!$F$2:$F$73='Group Stage'!$E$2:$E$73))
)</f>
        <v>0</v>
      </c>
      <c r="O34" cm="1">
        <f t="array" ref="O34">SUMPRODUCT(
  (('Group Stage'!$C$2:$C$73=A34)*('Group Stage'!$E$2:$E$73&lt;'Group Stage'!$F$2:$F$73))+
  (('Group Stage'!$D$2:$D$73=A34)*('Group Stage'!$F$2:$F$73&lt;'Group Stage'!$E$2:$E$73))
)</f>
        <v>0</v>
      </c>
      <c r="P34" cm="1">
        <f t="array" ref="P34">SUMPRODUCT(
  (('Group Stage'!$C$2:$C$73=A34)*('Group Stage'!$E$2:$E$73&gt;'Group Stage'!$F$2:$F$73))*3+
  (('Group Stage'!$D$2:$D$73=A34)*('Group Stage'!$F$2:$F$73&gt;'Group Stage'!$E$2:$E$73))*3+
  (('Group Stage'!$C$2:$C$73=A34)*('Group Stage'!$E$2:$E$73='Group Stage'!$F$2:$F$73))*1+
  (('Group Stage'!$D$2:$D$73=A34)*('Group Stage'!$F$2:$F$73='Group Stage'!$E$2:$E$73))*1
)</f>
        <v>9</v>
      </c>
      <c r="Q34" cm="1">
        <f t="array" ref="Q34">SUMPRODUCT(
  ('Group Stage'!$C$2:$C$73=A34)*('Group Stage'!$E$2:$E$73-'Group Stage'!$F$2:$F$73)+
  ('Group Stage'!$D$2:$D$73=A34)*('Group Stage'!$F$2:$F$73-'Group Stage'!$E$2:$E$73)
)</f>
        <v>6</v>
      </c>
      <c r="R34" cm="1">
        <f t="array" ref="R34">SUMPRODUCT(
  ('Group Stage'!$C$2:$C$73=A34)*'Group Stage'!$E$2:$E$73+
  ('Group Stage'!$D$2:$D$73=A34)*'Group Stage'!$F$2:$F$73
)</f>
        <v>6</v>
      </c>
      <c r="S34" cm="1">
        <f t="array" ref="S34">SUMPRODUCT(
  (('Elimination Rounds'!$L$2:$L$49=L34)*
  (('Elimination Rounds'!$P$2:$P$49&gt;P34)+
  ('Elimination Rounds'!$P$2:$P$49=P34)*('Elimination Rounds'!$Q$2:$Q$49&gt;Q34)+
  ('Elimination Rounds'!$P$2:$P$49=P34)*('Elimination Rounds'!$Q$2:$Q$49=Q34)*('Elimination Rounds'!$R$2:$R$49&gt;R34)))
)+1</f>
        <v>1</v>
      </c>
      <c r="U34" t="str">
        <v>France</v>
      </c>
      <c r="V34" t="str">
        <v>I</v>
      </c>
      <c r="W34">
        <v>3</v>
      </c>
      <c r="X34">
        <v>0</v>
      </c>
      <c r="Y34">
        <v>0</v>
      </c>
      <c r="Z34">
        <v>9</v>
      </c>
      <c r="AA34">
        <v>6</v>
      </c>
      <c r="AB34">
        <v>6</v>
      </c>
      <c r="AC34">
        <v>1</v>
      </c>
      <c r="AF34" s="2" t="str">
        <f t="shared" si="92"/>
        <v>Sweden</v>
      </c>
      <c r="AG34" s="3" t="str">
        <f t="shared" si="93"/>
        <v>F</v>
      </c>
      <c r="AH34" s="3">
        <f t="shared" si="94"/>
        <v>1</v>
      </c>
      <c r="AI34" s="3">
        <f t="shared" si="95"/>
        <v>1</v>
      </c>
      <c r="AJ34" s="3">
        <f t="shared" si="96"/>
        <v>1</v>
      </c>
      <c r="AK34" s="3">
        <f t="shared" si="97"/>
        <v>4</v>
      </c>
      <c r="AL34" s="3">
        <f t="shared" si="98"/>
        <v>0</v>
      </c>
      <c r="AM34" s="3">
        <f t="shared" si="99"/>
        <v>2</v>
      </c>
      <c r="AN34" s="3">
        <f t="shared" si="100"/>
        <v>3</v>
      </c>
    </row>
    <row r="35" spans="1:40" x14ac:dyDescent="0.35">
      <c r="A35" s="2" t="s">
        <v>70</v>
      </c>
      <c r="B35" s="3" t="str">
        <f t="shared" si="0"/>
        <v>I3</v>
      </c>
      <c r="C35" s="3" t="s">
        <v>68</v>
      </c>
      <c r="D35" s="10">
        <v>3</v>
      </c>
      <c r="E35" s="10"/>
      <c r="F35" s="10"/>
      <c r="G35" s="10"/>
      <c r="H35" s="10"/>
      <c r="I35" s="10"/>
      <c r="K35" s="2" t="s">
        <v>70</v>
      </c>
      <c r="L35" s="3" t="s">
        <v>68</v>
      </c>
      <c r="M35" cm="1">
        <f t="array" ref="M35">SUMPRODUCT(
  (('Group Stage'!$C$2:$C$73=A35)*('Group Stage'!$E$2:$E$73&gt;'Group Stage'!$F$2:$F$73))+
  (('Group Stage'!$D$2:$D$73=A35)*('Group Stage'!$F$2:$F$73&gt;'Group Stage'!$E$2:$E$73))
)</f>
        <v>1</v>
      </c>
      <c r="N35" cm="1">
        <f t="array" ref="N35">SUMPRODUCT(
  (('Group Stage'!$C$2:$C$73=A35)*('Group Stage'!$E$2:$E$73='Group Stage'!$F$2:$F$73))+
  (('Group Stage'!$D$2:$D$73=A35)*('Group Stage'!$F$2:$F$73='Group Stage'!$E$2:$E$73))
)</f>
        <v>1</v>
      </c>
      <c r="O35" cm="1">
        <f t="array" ref="O35">SUMPRODUCT(
  (('Group Stage'!$C$2:$C$73=A35)*('Group Stage'!$E$2:$E$73&lt;'Group Stage'!$F$2:$F$73))+
  (('Group Stage'!$D$2:$D$73=A35)*('Group Stage'!$F$2:$F$73&lt;'Group Stage'!$E$2:$E$73))
)</f>
        <v>1</v>
      </c>
      <c r="P35" cm="1">
        <f t="array" ref="P35">SUMPRODUCT(
  (('Group Stage'!$C$2:$C$73=A35)*('Group Stage'!$E$2:$E$73&gt;'Group Stage'!$F$2:$F$73))*3+
  (('Group Stage'!$D$2:$D$73=A35)*('Group Stage'!$F$2:$F$73&gt;'Group Stage'!$E$2:$E$73))*3+
  (('Group Stage'!$C$2:$C$73=A35)*('Group Stage'!$E$2:$E$73='Group Stage'!$F$2:$F$73))*1+
  (('Group Stage'!$D$2:$D$73=A35)*('Group Stage'!$F$2:$F$73='Group Stage'!$E$2:$E$73))*1
)</f>
        <v>4</v>
      </c>
      <c r="Q35" cm="1">
        <f t="array" ref="Q35">SUMPRODUCT(
  ('Group Stage'!$C$2:$C$73=A35)*('Group Stage'!$E$2:$E$73-'Group Stage'!$F$2:$F$73)+
  ('Group Stage'!$D$2:$D$73=A35)*('Group Stage'!$F$2:$F$73-'Group Stage'!$E$2:$E$73)
)</f>
        <v>-1</v>
      </c>
      <c r="R35" cm="1">
        <f t="array" ref="R35">SUMPRODUCT(
  ('Group Stage'!$C$2:$C$73=A35)*'Group Stage'!$E$2:$E$73+
  ('Group Stage'!$D$2:$D$73=A35)*'Group Stage'!$F$2:$F$73
)</f>
        <v>2</v>
      </c>
      <c r="S35" cm="1">
        <f t="array" ref="S35">SUMPRODUCT(
  (('Elimination Rounds'!$L$2:$L$49=L35)*
  (('Elimination Rounds'!$P$2:$P$49&gt;P35)+
  ('Elimination Rounds'!$P$2:$P$49=P35)*('Elimination Rounds'!$Q$2:$Q$49&gt;Q35)+
  ('Elimination Rounds'!$P$2:$P$49=P35)*('Elimination Rounds'!$Q$2:$Q$49=Q35)*('Elimination Rounds'!$R$2:$R$49&gt;R35)))
)+1</f>
        <v>3</v>
      </c>
      <c r="U35" t="str">
        <v>Norway</v>
      </c>
      <c r="V35" t="str">
        <v>I</v>
      </c>
      <c r="W35">
        <v>1</v>
      </c>
      <c r="X35">
        <v>1</v>
      </c>
      <c r="Y35">
        <v>1</v>
      </c>
      <c r="Z35">
        <v>4</v>
      </c>
      <c r="AA35">
        <v>0</v>
      </c>
      <c r="AB35">
        <v>3</v>
      </c>
      <c r="AC35">
        <v>2</v>
      </c>
      <c r="AF35" s="2" t="str">
        <f t="shared" si="92"/>
        <v>Tunisia</v>
      </c>
      <c r="AG35" s="3" t="str">
        <f t="shared" si="93"/>
        <v>F</v>
      </c>
      <c r="AH35" s="3">
        <f t="shared" si="94"/>
        <v>0</v>
      </c>
      <c r="AI35" s="3">
        <f t="shared" si="95"/>
        <v>0</v>
      </c>
      <c r="AJ35" s="3">
        <f t="shared" si="96"/>
        <v>3</v>
      </c>
      <c r="AK35" s="3">
        <f t="shared" si="97"/>
        <v>0</v>
      </c>
      <c r="AL35" s="3">
        <f t="shared" si="98"/>
        <v>-5</v>
      </c>
      <c r="AM35" s="3">
        <f t="shared" si="99"/>
        <v>0</v>
      </c>
      <c r="AN35" s="3">
        <f t="shared" si="100"/>
        <v>4</v>
      </c>
    </row>
    <row r="36" spans="1:40" x14ac:dyDescent="0.35">
      <c r="A36" s="2" t="s">
        <v>71</v>
      </c>
      <c r="B36" s="3" t="str">
        <f t="shared" si="0"/>
        <v>I2</v>
      </c>
      <c r="C36" s="3" t="s">
        <v>68</v>
      </c>
      <c r="D36" s="10">
        <v>2</v>
      </c>
      <c r="E36" s="10">
        <v>1</v>
      </c>
      <c r="F36" s="10"/>
      <c r="G36" s="10"/>
      <c r="H36" s="10"/>
      <c r="I36" s="10"/>
      <c r="K36" s="2" t="s">
        <v>71</v>
      </c>
      <c r="L36" s="3" t="s">
        <v>68</v>
      </c>
      <c r="M36" cm="1">
        <f t="array" ref="M36">SUMPRODUCT(
  (('Group Stage'!$C$2:$C$73=A36)*('Group Stage'!$E$2:$E$73&gt;'Group Stage'!$F$2:$F$73))+
  (('Group Stage'!$D$2:$D$73=A36)*('Group Stage'!$F$2:$F$73&gt;'Group Stage'!$E$2:$E$73))
)</f>
        <v>1</v>
      </c>
      <c r="N36" cm="1">
        <f t="array" ref="N36">SUMPRODUCT(
  (('Group Stage'!$C$2:$C$73=A36)*('Group Stage'!$E$2:$E$73='Group Stage'!$F$2:$F$73))+
  (('Group Stage'!$D$2:$D$73=A36)*('Group Stage'!$F$2:$F$73='Group Stage'!$E$2:$E$73))
)</f>
        <v>1</v>
      </c>
      <c r="O36" cm="1">
        <f t="array" ref="O36">SUMPRODUCT(
  (('Group Stage'!$C$2:$C$73=A36)*('Group Stage'!$E$2:$E$73&lt;'Group Stage'!$F$2:$F$73))+
  (('Group Stage'!$D$2:$D$73=A36)*('Group Stage'!$F$2:$F$73&lt;'Group Stage'!$E$2:$E$73))
)</f>
        <v>1</v>
      </c>
      <c r="P36" cm="1">
        <f t="array" ref="P36">SUMPRODUCT(
  (('Group Stage'!$C$2:$C$73=A36)*('Group Stage'!$E$2:$E$73&gt;'Group Stage'!$F$2:$F$73))*3+
  (('Group Stage'!$D$2:$D$73=A36)*('Group Stage'!$F$2:$F$73&gt;'Group Stage'!$E$2:$E$73))*3+
  (('Group Stage'!$C$2:$C$73=A36)*('Group Stage'!$E$2:$E$73='Group Stage'!$F$2:$F$73))*1+
  (('Group Stage'!$D$2:$D$73=A36)*('Group Stage'!$F$2:$F$73='Group Stage'!$E$2:$E$73))*1
)</f>
        <v>4</v>
      </c>
      <c r="Q36" cm="1">
        <f t="array" ref="Q36">SUMPRODUCT(
  ('Group Stage'!$C$2:$C$73=A36)*('Group Stage'!$E$2:$E$73-'Group Stage'!$F$2:$F$73)+
  ('Group Stage'!$D$2:$D$73=A36)*('Group Stage'!$F$2:$F$73-'Group Stage'!$E$2:$E$73)
)</f>
        <v>0</v>
      </c>
      <c r="R36" cm="1">
        <f t="array" ref="R36">SUMPRODUCT(
  ('Group Stage'!$C$2:$C$73=A36)*'Group Stage'!$E$2:$E$73+
  ('Group Stage'!$D$2:$D$73=A36)*'Group Stage'!$F$2:$F$73
)</f>
        <v>3</v>
      </c>
      <c r="S36" cm="1">
        <f t="array" ref="S36">SUMPRODUCT(
  (('Elimination Rounds'!$L$2:$L$49=L36)*
  (('Elimination Rounds'!$P$2:$P$49&gt;P36)+
  ('Elimination Rounds'!$P$2:$P$49=P36)*('Elimination Rounds'!$Q$2:$Q$49&gt;Q36)+
  ('Elimination Rounds'!$P$2:$P$49=P36)*('Elimination Rounds'!$Q$2:$Q$49=Q36)*('Elimination Rounds'!$R$2:$R$49&gt;R36)))
)+1</f>
        <v>2</v>
      </c>
      <c r="U36" t="str">
        <v>Senegal</v>
      </c>
      <c r="V36" t="str">
        <v>I</v>
      </c>
      <c r="W36">
        <v>1</v>
      </c>
      <c r="X36">
        <v>1</v>
      </c>
      <c r="Y36">
        <v>1</v>
      </c>
      <c r="Z36">
        <v>4</v>
      </c>
      <c r="AA36">
        <v>-1</v>
      </c>
      <c r="AB36">
        <v>2</v>
      </c>
      <c r="AC36">
        <v>3</v>
      </c>
    </row>
    <row r="37" spans="1:40" x14ac:dyDescent="0.3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  <c r="K37" s="2" t="s">
        <v>72</v>
      </c>
      <c r="L37" s="3" t="s">
        <v>68</v>
      </c>
      <c r="M37" cm="1">
        <f t="array" ref="M37">SUMPRODUCT(
  (('Group Stage'!$C$2:$C$73=A37)*('Group Stage'!$E$2:$E$73&gt;'Group Stage'!$F$2:$F$73))+
  (('Group Stage'!$D$2:$D$73=A37)*('Group Stage'!$F$2:$F$73&gt;'Group Stage'!$E$2:$E$73))
)</f>
        <v>0</v>
      </c>
      <c r="N37" cm="1">
        <f t="array" ref="N37">SUMPRODUCT(
  (('Group Stage'!$C$2:$C$73=A37)*('Group Stage'!$E$2:$E$73='Group Stage'!$F$2:$F$73))+
  (('Group Stage'!$D$2:$D$73=A37)*('Group Stage'!$F$2:$F$73='Group Stage'!$E$2:$E$73))
)</f>
        <v>0</v>
      </c>
      <c r="O37" cm="1">
        <f t="array" ref="O37">SUMPRODUCT(
  (('Group Stage'!$C$2:$C$73=A37)*('Group Stage'!$E$2:$E$73&lt;'Group Stage'!$F$2:$F$73))+
  (('Group Stage'!$D$2:$D$73=A37)*('Group Stage'!$F$2:$F$73&lt;'Group Stage'!$E$2:$E$73))
)</f>
        <v>3</v>
      </c>
      <c r="P37" cm="1">
        <f t="array" ref="P37">SUMPRODUCT(
  (('Group Stage'!$C$2:$C$73=A37)*('Group Stage'!$E$2:$E$73&gt;'Group Stage'!$F$2:$F$73))*3+
  (('Group Stage'!$D$2:$D$73=A37)*('Group Stage'!$F$2:$F$73&gt;'Group Stage'!$E$2:$E$73))*3+
  (('Group Stage'!$C$2:$C$73=A37)*('Group Stage'!$E$2:$E$73='Group Stage'!$F$2:$F$73))*1+
  (('Group Stage'!$D$2:$D$73=A37)*('Group Stage'!$F$2:$F$73='Group Stage'!$E$2:$E$73))*1
)</f>
        <v>0</v>
      </c>
      <c r="Q37" cm="1">
        <f t="array" ref="Q37">SUMPRODUCT(
  ('Group Stage'!$C$2:$C$73=A37)*('Group Stage'!$E$2:$E$73-'Group Stage'!$F$2:$F$73)+
  ('Group Stage'!$D$2:$D$73=A37)*('Group Stage'!$F$2:$F$73-'Group Stage'!$E$2:$E$73)
)</f>
        <v>-5</v>
      </c>
      <c r="R37" cm="1">
        <f t="array" ref="R37">SUMPRODUCT(
  ('Group Stage'!$C$2:$C$73=A37)*'Group Stage'!$E$2:$E$73+
  ('Group Stage'!$D$2:$D$73=A37)*'Group Stage'!$F$2:$F$73
)</f>
        <v>0</v>
      </c>
      <c r="S37" cm="1">
        <f t="array" ref="S37">SUMPRODUCT(
  (('Elimination Rounds'!$L$2:$L$49=L37)*
  (('Elimination Rounds'!$P$2:$P$49&gt;P37)+
  ('Elimination Rounds'!$P$2:$P$49=P37)*('Elimination Rounds'!$Q$2:$Q$49&gt;Q37)+
  ('Elimination Rounds'!$P$2:$P$49=P37)*('Elimination Rounds'!$Q$2:$Q$49=Q37)*('Elimination Rounds'!$R$2:$R$49&gt;R37)))
)+1</f>
        <v>4</v>
      </c>
      <c r="U37" t="str">
        <v>Iraq</v>
      </c>
      <c r="V37" t="str">
        <v>I</v>
      </c>
      <c r="W37">
        <v>0</v>
      </c>
      <c r="X37">
        <v>0</v>
      </c>
      <c r="Y37">
        <v>3</v>
      </c>
      <c r="Z37">
        <v>0</v>
      </c>
      <c r="AA37">
        <v>-5</v>
      </c>
      <c r="AB37">
        <v>0</v>
      </c>
      <c r="AC37">
        <v>4</v>
      </c>
      <c r="AF37" s="1" t="s">
        <v>88</v>
      </c>
      <c r="AG37" s="1" t="s">
        <v>89</v>
      </c>
      <c r="AH37" s="18" t="s">
        <v>113</v>
      </c>
      <c r="AI37" s="18" t="s">
        <v>43</v>
      </c>
      <c r="AJ37" s="18" t="s">
        <v>83</v>
      </c>
      <c r="AK37" s="18" t="s">
        <v>114</v>
      </c>
      <c r="AL37" s="18" t="s">
        <v>115</v>
      </c>
      <c r="AM37" s="18" t="s">
        <v>117</v>
      </c>
      <c r="AN37" s="18" t="s">
        <v>116</v>
      </c>
    </row>
    <row r="38" spans="1:40" x14ac:dyDescent="0.3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/>
      <c r="H38" s="10"/>
      <c r="I38" s="10"/>
      <c r="K38" s="2" t="s">
        <v>74</v>
      </c>
      <c r="L38" s="3" t="s">
        <v>73</v>
      </c>
      <c r="M38" cm="1">
        <f t="array" ref="M38">SUMPRODUCT(
  (('Group Stage'!$C$2:$C$73=A38)*('Group Stage'!$E$2:$E$73&gt;'Group Stage'!$F$2:$F$73))+
  (('Group Stage'!$D$2:$D$73=A38)*('Group Stage'!$F$2:$F$73&gt;'Group Stage'!$E$2:$E$73))
)</f>
        <v>3</v>
      </c>
      <c r="N38" cm="1">
        <f t="array" ref="N38">SUMPRODUCT(
  (('Group Stage'!$C$2:$C$73=A38)*('Group Stage'!$E$2:$E$73='Group Stage'!$F$2:$F$73))+
  (('Group Stage'!$D$2:$D$73=A38)*('Group Stage'!$F$2:$F$73='Group Stage'!$E$2:$E$73))
)</f>
        <v>0</v>
      </c>
      <c r="O38" cm="1">
        <f t="array" ref="O38">SUMPRODUCT(
  (('Group Stage'!$C$2:$C$73=A38)*('Group Stage'!$E$2:$E$73&lt;'Group Stage'!$F$2:$F$73))+
  (('Group Stage'!$D$2:$D$73=A38)*('Group Stage'!$F$2:$F$73&lt;'Group Stage'!$E$2:$E$73))
)</f>
        <v>0</v>
      </c>
      <c r="P38" cm="1">
        <f t="array" ref="P38">SUMPRODUCT(
  (('Group Stage'!$C$2:$C$73=A38)*('Group Stage'!$E$2:$E$73&gt;'Group Stage'!$F$2:$F$73))*3+
  (('Group Stage'!$D$2:$D$73=A38)*('Group Stage'!$F$2:$F$73&gt;'Group Stage'!$E$2:$E$73))*3+
  (('Group Stage'!$C$2:$C$73=A38)*('Group Stage'!$E$2:$E$73='Group Stage'!$F$2:$F$73))*1+
  (('Group Stage'!$D$2:$D$73=A38)*('Group Stage'!$F$2:$F$73='Group Stage'!$E$2:$E$73))*1
)</f>
        <v>9</v>
      </c>
      <c r="Q38" cm="1">
        <f t="array" ref="Q38">SUMPRODUCT(
  ('Group Stage'!$C$2:$C$73=A38)*('Group Stage'!$E$2:$E$73-'Group Stage'!$F$2:$F$73)+
  ('Group Stage'!$D$2:$D$73=A38)*('Group Stage'!$F$2:$F$73-'Group Stage'!$E$2:$E$73)
)</f>
        <v>6</v>
      </c>
      <c r="R38" cm="1">
        <f t="array" ref="R38">SUMPRODUCT(
  ('Group Stage'!$C$2:$C$73=A38)*'Group Stage'!$E$2:$E$73+
  ('Group Stage'!$D$2:$D$73=A38)*'Group Stage'!$F$2:$F$73
)</f>
        <v>6</v>
      </c>
      <c r="S38" cm="1">
        <f t="array" ref="S38">SUMPRODUCT(
  (('Elimination Rounds'!$L$2:$L$49=L38)*
  (('Elimination Rounds'!$P$2:$P$49&gt;P38)+
  ('Elimination Rounds'!$P$2:$P$49=P38)*('Elimination Rounds'!$Q$2:$Q$49&gt;Q38)+
  ('Elimination Rounds'!$P$2:$P$49=P38)*('Elimination Rounds'!$Q$2:$Q$49=Q38)*('Elimination Rounds'!$R$2:$R$49&gt;R38)))
)+1</f>
        <v>1</v>
      </c>
      <c r="U38" t="str">
        <v>Argentina</v>
      </c>
      <c r="V38" t="str">
        <v>J</v>
      </c>
      <c r="W38">
        <v>3</v>
      </c>
      <c r="X38">
        <v>0</v>
      </c>
      <c r="Y38">
        <v>0</v>
      </c>
      <c r="Z38">
        <v>9</v>
      </c>
      <c r="AA38">
        <v>6</v>
      </c>
      <c r="AB38">
        <v>6</v>
      </c>
      <c r="AC38">
        <v>1</v>
      </c>
      <c r="AF38" s="2" t="str">
        <f>U26</f>
        <v>Belgium</v>
      </c>
      <c r="AG38" s="3" t="str">
        <f t="shared" ref="AG38:AN38" si="101">V26</f>
        <v>G</v>
      </c>
      <c r="AH38" s="3">
        <f t="shared" si="101"/>
        <v>3</v>
      </c>
      <c r="AI38" s="3">
        <f t="shared" si="101"/>
        <v>0</v>
      </c>
      <c r="AJ38" s="3">
        <f t="shared" si="101"/>
        <v>0</v>
      </c>
      <c r="AK38" s="3">
        <f t="shared" si="101"/>
        <v>9</v>
      </c>
      <c r="AL38" s="3">
        <f t="shared" si="101"/>
        <v>6</v>
      </c>
      <c r="AM38" s="3">
        <f t="shared" si="101"/>
        <v>6</v>
      </c>
      <c r="AN38" s="3">
        <f t="shared" si="101"/>
        <v>1</v>
      </c>
    </row>
    <row r="39" spans="1:40" x14ac:dyDescent="0.3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  <c r="K39" s="2" t="s">
        <v>75</v>
      </c>
      <c r="L39" s="3" t="s">
        <v>73</v>
      </c>
      <c r="M39" cm="1">
        <f t="array" ref="M39">SUMPRODUCT(
  (('Group Stage'!$C$2:$C$73=A39)*('Group Stage'!$E$2:$E$73&gt;'Group Stage'!$F$2:$F$73))+
  (('Group Stage'!$D$2:$D$73=A39)*('Group Stage'!$F$2:$F$73&gt;'Group Stage'!$E$2:$E$73))
)</f>
        <v>2</v>
      </c>
      <c r="N39" cm="1">
        <f t="array" ref="N39">SUMPRODUCT(
  (('Group Stage'!$C$2:$C$73=A39)*('Group Stage'!$E$2:$E$73='Group Stage'!$F$2:$F$73))+
  (('Group Stage'!$D$2:$D$73=A39)*('Group Stage'!$F$2:$F$73='Group Stage'!$E$2:$E$73))
)</f>
        <v>0</v>
      </c>
      <c r="O39" cm="1">
        <f t="array" ref="O39">SUMPRODUCT(
  (('Group Stage'!$C$2:$C$73=A39)*('Group Stage'!$E$2:$E$73&lt;'Group Stage'!$F$2:$F$73))+
  (('Group Stage'!$D$2:$D$73=A39)*('Group Stage'!$F$2:$F$73&lt;'Group Stage'!$E$2:$E$73))
)</f>
        <v>1</v>
      </c>
      <c r="P39" cm="1">
        <f t="array" ref="P39">SUMPRODUCT(
  (('Group Stage'!$C$2:$C$73=A39)*('Group Stage'!$E$2:$E$73&gt;'Group Stage'!$F$2:$F$73))*3+
  (('Group Stage'!$D$2:$D$73=A39)*('Group Stage'!$F$2:$F$73&gt;'Group Stage'!$E$2:$E$73))*3+
  (('Group Stage'!$C$2:$C$73=A39)*('Group Stage'!$E$2:$E$73='Group Stage'!$F$2:$F$73))*1+
  (('Group Stage'!$D$2:$D$73=A39)*('Group Stage'!$F$2:$F$73='Group Stage'!$E$2:$E$73))*1
)</f>
        <v>6</v>
      </c>
      <c r="Q39" cm="1">
        <f t="array" ref="Q39">SUMPRODUCT(
  ('Group Stage'!$C$2:$C$73=A39)*('Group Stage'!$E$2:$E$73-'Group Stage'!$F$2:$F$73)+
  ('Group Stage'!$D$2:$D$73=A39)*('Group Stage'!$F$2:$F$73-'Group Stage'!$E$2:$E$73)
)</f>
        <v>1</v>
      </c>
      <c r="R39" cm="1">
        <f t="array" ref="R39">SUMPRODUCT(
  ('Group Stage'!$C$2:$C$73=A39)*'Group Stage'!$E$2:$E$73+
  ('Group Stage'!$D$2:$D$73=A39)*'Group Stage'!$F$2:$F$73
)</f>
        <v>2</v>
      </c>
      <c r="S39" cm="1">
        <f t="array" ref="S39">SUMPRODUCT(
  (('Elimination Rounds'!$L$2:$L$49=L39)*
  (('Elimination Rounds'!$P$2:$P$49&gt;P39)+
  ('Elimination Rounds'!$P$2:$P$49=P39)*('Elimination Rounds'!$Q$2:$Q$49&gt;Q39)+
  ('Elimination Rounds'!$P$2:$P$49=P39)*('Elimination Rounds'!$Q$2:$Q$49=Q39)*('Elimination Rounds'!$R$2:$R$49&gt;R39)))
)+1</f>
        <v>2</v>
      </c>
      <c r="U39" t="str">
        <v>Austria</v>
      </c>
      <c r="V39" t="str">
        <v>J</v>
      </c>
      <c r="W39">
        <v>2</v>
      </c>
      <c r="X39">
        <v>0</v>
      </c>
      <c r="Y39">
        <v>1</v>
      </c>
      <c r="Z39">
        <v>6</v>
      </c>
      <c r="AA39">
        <v>1</v>
      </c>
      <c r="AB39">
        <v>2</v>
      </c>
      <c r="AC39">
        <v>2</v>
      </c>
      <c r="AF39" s="2" t="str">
        <f t="shared" ref="AF39:AF41" si="102">U27</f>
        <v>Egypt</v>
      </c>
      <c r="AG39" s="3" t="str">
        <f t="shared" ref="AG39:AG41" si="103">V27</f>
        <v>G</v>
      </c>
      <c r="AH39" s="3">
        <f t="shared" ref="AH39:AH41" si="104">W27</f>
        <v>2</v>
      </c>
      <c r="AI39" s="3">
        <f t="shared" ref="AI39:AI41" si="105">X27</f>
        <v>0</v>
      </c>
      <c r="AJ39" s="3">
        <f t="shared" ref="AJ39:AJ41" si="106">Y27</f>
        <v>1</v>
      </c>
      <c r="AK39" s="3">
        <f t="shared" ref="AK39:AK41" si="107">Z27</f>
        <v>6</v>
      </c>
      <c r="AL39" s="3">
        <f t="shared" ref="AL39:AL41" si="108">AA27</f>
        <v>0</v>
      </c>
      <c r="AM39" s="3">
        <f t="shared" ref="AM39:AM41" si="109">AB27</f>
        <v>2</v>
      </c>
      <c r="AN39" s="3">
        <f t="shared" ref="AN39:AN41" si="110">AC27</f>
        <v>2</v>
      </c>
    </row>
    <row r="40" spans="1:40" x14ac:dyDescent="0.35">
      <c r="A40" s="2" t="s">
        <v>76</v>
      </c>
      <c r="B40" s="3" t="str">
        <f t="shared" si="0"/>
        <v>J3</v>
      </c>
      <c r="C40" s="3" t="s">
        <v>73</v>
      </c>
      <c r="D40" s="10">
        <v>3</v>
      </c>
      <c r="E40" s="10"/>
      <c r="F40" s="10"/>
      <c r="G40" s="10"/>
      <c r="H40" s="10"/>
      <c r="I40" s="10"/>
      <c r="K40" s="2" t="s">
        <v>76</v>
      </c>
      <c r="L40" s="3" t="s">
        <v>73</v>
      </c>
      <c r="M40" cm="1">
        <f t="array" ref="M40">SUMPRODUCT(
  (('Group Stage'!$C$2:$C$73=A40)*('Group Stage'!$E$2:$E$73&gt;'Group Stage'!$F$2:$F$73))+
  (('Group Stage'!$D$2:$D$73=A40)*('Group Stage'!$F$2:$F$73&gt;'Group Stage'!$E$2:$E$73))
)</f>
        <v>1</v>
      </c>
      <c r="N40" cm="1">
        <f t="array" ref="N40">SUMPRODUCT(
  (('Group Stage'!$C$2:$C$73=A40)*('Group Stage'!$E$2:$E$73='Group Stage'!$F$2:$F$73))+
  (('Group Stage'!$D$2:$D$73=A40)*('Group Stage'!$F$2:$F$73='Group Stage'!$E$2:$E$73))
)</f>
        <v>0</v>
      </c>
      <c r="O40" cm="1">
        <f t="array" ref="O40">SUMPRODUCT(
  (('Group Stage'!$C$2:$C$73=A40)*('Group Stage'!$E$2:$E$73&lt;'Group Stage'!$F$2:$F$73))+
  (('Group Stage'!$D$2:$D$73=A40)*('Group Stage'!$F$2:$F$73&lt;'Group Stage'!$E$2:$E$73))
)</f>
        <v>2</v>
      </c>
      <c r="P40" cm="1">
        <f t="array" ref="P40">SUMPRODUCT(
  (('Group Stage'!$C$2:$C$73=A40)*('Group Stage'!$E$2:$E$73&gt;'Group Stage'!$F$2:$F$73))*3+
  (('Group Stage'!$D$2:$D$73=A40)*('Group Stage'!$F$2:$F$73&gt;'Group Stage'!$E$2:$E$73))*3+
  (('Group Stage'!$C$2:$C$73=A40)*('Group Stage'!$E$2:$E$73='Group Stage'!$F$2:$F$73))*1+
  (('Group Stage'!$D$2:$D$73=A40)*('Group Stage'!$F$2:$F$73='Group Stage'!$E$2:$E$73))*1
)</f>
        <v>3</v>
      </c>
      <c r="Q40" cm="1">
        <f t="array" ref="Q40">SUMPRODUCT(
  ('Group Stage'!$C$2:$C$73=A40)*('Group Stage'!$E$2:$E$73-'Group Stage'!$F$2:$F$73)+
  ('Group Stage'!$D$2:$D$73=A40)*('Group Stage'!$F$2:$F$73-'Group Stage'!$E$2:$E$73)
)</f>
        <v>-1</v>
      </c>
      <c r="R40" cm="1">
        <f t="array" ref="R40">SUMPRODUCT(
  ('Group Stage'!$C$2:$C$73=A40)*'Group Stage'!$E$2:$E$73+
  ('Group Stage'!$D$2:$D$73=A40)*'Group Stage'!$F$2:$F$73
)</f>
        <v>2</v>
      </c>
      <c r="S40" cm="1">
        <f t="array" ref="S40">SUMPRODUCT(
  (('Elimination Rounds'!$L$2:$L$49=L40)*
  (('Elimination Rounds'!$P$2:$P$49&gt;P40)+
  ('Elimination Rounds'!$P$2:$P$49=P40)*('Elimination Rounds'!$Q$2:$Q$49&gt;Q40)+
  ('Elimination Rounds'!$P$2:$P$49=P40)*('Elimination Rounds'!$Q$2:$Q$49=Q40)*('Elimination Rounds'!$R$2:$R$49&gt;R40)))
)+1</f>
        <v>3</v>
      </c>
      <c r="U40" t="str">
        <v>Algeria</v>
      </c>
      <c r="V40" t="str">
        <v>J</v>
      </c>
      <c r="W40">
        <v>1</v>
      </c>
      <c r="X40">
        <v>0</v>
      </c>
      <c r="Y40">
        <v>2</v>
      </c>
      <c r="Z40">
        <v>3</v>
      </c>
      <c r="AA40">
        <v>-1</v>
      </c>
      <c r="AB40">
        <v>2</v>
      </c>
      <c r="AC40">
        <v>3</v>
      </c>
      <c r="AF40" s="2" t="str">
        <f t="shared" si="102"/>
        <v>Iran</v>
      </c>
      <c r="AG40" s="3" t="str">
        <f t="shared" si="103"/>
        <v>G</v>
      </c>
      <c r="AH40" s="3">
        <f t="shared" si="104"/>
        <v>1</v>
      </c>
      <c r="AI40" s="3">
        <f t="shared" si="105"/>
        <v>0</v>
      </c>
      <c r="AJ40" s="3">
        <f t="shared" si="106"/>
        <v>2</v>
      </c>
      <c r="AK40" s="3">
        <f t="shared" si="107"/>
        <v>3</v>
      </c>
      <c r="AL40" s="3">
        <f t="shared" si="108"/>
        <v>-2</v>
      </c>
      <c r="AM40" s="3">
        <f t="shared" si="109"/>
        <v>1</v>
      </c>
      <c r="AN40" s="3">
        <f t="shared" si="110"/>
        <v>3</v>
      </c>
    </row>
    <row r="41" spans="1:40" x14ac:dyDescent="0.35">
      <c r="A41" s="2" t="s">
        <v>77</v>
      </c>
      <c r="B41" s="3" t="str">
        <f t="shared" si="0"/>
        <v>J4</v>
      </c>
      <c r="C41" s="3" t="s">
        <v>73</v>
      </c>
      <c r="D41" s="10">
        <v>4</v>
      </c>
      <c r="E41" s="10"/>
      <c r="F41" s="10"/>
      <c r="G41" s="10"/>
      <c r="H41" s="10"/>
      <c r="I41" s="10"/>
      <c r="K41" s="2" t="s">
        <v>77</v>
      </c>
      <c r="L41" s="3" t="s">
        <v>73</v>
      </c>
      <c r="M41" cm="1">
        <f t="array" ref="M41">SUMPRODUCT(
  (('Group Stage'!$C$2:$C$73=A41)*('Group Stage'!$E$2:$E$73&gt;'Group Stage'!$F$2:$F$73))+
  (('Group Stage'!$D$2:$D$73=A41)*('Group Stage'!$F$2:$F$73&gt;'Group Stage'!$E$2:$E$73))
)</f>
        <v>0</v>
      </c>
      <c r="N41" cm="1">
        <f t="array" ref="N41">SUMPRODUCT(
  (('Group Stage'!$C$2:$C$73=A41)*('Group Stage'!$E$2:$E$73='Group Stage'!$F$2:$F$73))+
  (('Group Stage'!$D$2:$D$73=A41)*('Group Stage'!$F$2:$F$73='Group Stage'!$E$2:$E$73))
)</f>
        <v>0</v>
      </c>
      <c r="O41" cm="1">
        <f t="array" ref="O41">SUMPRODUCT(
  (('Group Stage'!$C$2:$C$73=A41)*('Group Stage'!$E$2:$E$73&lt;'Group Stage'!$F$2:$F$73))+
  (('Group Stage'!$D$2:$D$73=A41)*('Group Stage'!$F$2:$F$73&lt;'Group Stage'!$E$2:$E$73))
)</f>
        <v>3</v>
      </c>
      <c r="P41" cm="1">
        <f t="array" ref="P41">SUMPRODUCT(
  (('Group Stage'!$C$2:$C$73=A41)*('Group Stage'!$E$2:$E$73&gt;'Group Stage'!$F$2:$F$73))*3+
  (('Group Stage'!$D$2:$D$73=A41)*('Group Stage'!$F$2:$F$73&gt;'Group Stage'!$E$2:$E$73))*3+
  (('Group Stage'!$C$2:$C$73=A41)*('Group Stage'!$E$2:$E$73='Group Stage'!$F$2:$F$73))*1+
  (('Group Stage'!$D$2:$D$73=A41)*('Group Stage'!$F$2:$F$73='Group Stage'!$E$2:$E$73))*1
)</f>
        <v>0</v>
      </c>
      <c r="Q41" cm="1">
        <f t="array" ref="Q41">SUMPRODUCT(
  ('Group Stage'!$C$2:$C$73=A41)*('Group Stage'!$E$2:$E$73-'Group Stage'!$F$2:$F$73)+
  ('Group Stage'!$D$2:$D$73=A41)*('Group Stage'!$F$2:$F$73-'Group Stage'!$E$2:$E$73)
)</f>
        <v>-6</v>
      </c>
      <c r="R41" cm="1">
        <f t="array" ref="R41">SUMPRODUCT(
  ('Group Stage'!$C$2:$C$73=A41)*'Group Stage'!$E$2:$E$73+
  ('Group Stage'!$D$2:$D$73=A41)*'Group Stage'!$F$2:$F$73
)</f>
        <v>0</v>
      </c>
      <c r="S41" cm="1">
        <f t="array" ref="S41">SUMPRODUCT(
  (('Elimination Rounds'!$L$2:$L$49=L41)*
  (('Elimination Rounds'!$P$2:$P$49&gt;P41)+
  ('Elimination Rounds'!$P$2:$P$49=P41)*('Elimination Rounds'!$Q$2:$Q$49&gt;Q41)+
  ('Elimination Rounds'!$P$2:$P$49=P41)*('Elimination Rounds'!$Q$2:$Q$49=Q41)*('Elimination Rounds'!$R$2:$R$49&gt;R41)))
)+1</f>
        <v>4</v>
      </c>
      <c r="U41" t="str">
        <v>Jordan</v>
      </c>
      <c r="V41" t="str">
        <v>J</v>
      </c>
      <c r="W41">
        <v>0</v>
      </c>
      <c r="X41">
        <v>0</v>
      </c>
      <c r="Y41">
        <v>3</v>
      </c>
      <c r="Z41">
        <v>0</v>
      </c>
      <c r="AA41">
        <v>-6</v>
      </c>
      <c r="AB41">
        <v>0</v>
      </c>
      <c r="AC41">
        <v>4</v>
      </c>
      <c r="AF41" s="2" t="str">
        <f t="shared" si="102"/>
        <v>New Zealand</v>
      </c>
      <c r="AG41" s="3" t="str">
        <f t="shared" si="103"/>
        <v>G</v>
      </c>
      <c r="AH41" s="3">
        <f t="shared" si="104"/>
        <v>0</v>
      </c>
      <c r="AI41" s="3">
        <f t="shared" si="105"/>
        <v>0</v>
      </c>
      <c r="AJ41" s="3">
        <f t="shared" si="106"/>
        <v>3</v>
      </c>
      <c r="AK41" s="3">
        <f t="shared" si="107"/>
        <v>0</v>
      </c>
      <c r="AL41" s="3">
        <f t="shared" si="108"/>
        <v>-4</v>
      </c>
      <c r="AM41" s="3">
        <f t="shared" si="109"/>
        <v>0</v>
      </c>
      <c r="AN41" s="3">
        <f t="shared" si="110"/>
        <v>4</v>
      </c>
    </row>
    <row r="42" spans="1:40" x14ac:dyDescent="0.3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/>
      <c r="K42" s="2" t="s">
        <v>79</v>
      </c>
      <c r="L42" s="3" t="s">
        <v>78</v>
      </c>
      <c r="M42" cm="1">
        <f t="array" ref="M42">SUMPRODUCT(
  (('Group Stage'!$C$2:$C$73=A42)*('Group Stage'!$E$2:$E$73&gt;'Group Stage'!$F$2:$F$73))+
  (('Group Stage'!$D$2:$D$73=A42)*('Group Stage'!$F$2:$F$73&gt;'Group Stage'!$E$2:$E$73))
)</f>
        <v>3</v>
      </c>
      <c r="N42" cm="1">
        <f t="array" ref="N42">SUMPRODUCT(
  (('Group Stage'!$C$2:$C$73=A42)*('Group Stage'!$E$2:$E$73='Group Stage'!$F$2:$F$73))+
  (('Group Stage'!$D$2:$D$73=A42)*('Group Stage'!$F$2:$F$73='Group Stage'!$E$2:$E$73))
)</f>
        <v>0</v>
      </c>
      <c r="O42" cm="1">
        <f t="array" ref="O42">SUMPRODUCT(
  (('Group Stage'!$C$2:$C$73=A42)*('Group Stage'!$E$2:$E$73&lt;'Group Stage'!$F$2:$F$73))+
  (('Group Stage'!$D$2:$D$73=A42)*('Group Stage'!$F$2:$F$73&lt;'Group Stage'!$E$2:$E$73))
)</f>
        <v>0</v>
      </c>
      <c r="P42" cm="1">
        <f t="array" ref="P42">SUMPRODUCT(
  (('Group Stage'!$C$2:$C$73=A42)*('Group Stage'!$E$2:$E$73&gt;'Group Stage'!$F$2:$F$73))*3+
  (('Group Stage'!$D$2:$D$73=A42)*('Group Stage'!$F$2:$F$73&gt;'Group Stage'!$E$2:$E$73))*3+
  (('Group Stage'!$C$2:$C$73=A42)*('Group Stage'!$E$2:$E$73='Group Stage'!$F$2:$F$73))*1+
  (('Group Stage'!$D$2:$D$73=A42)*('Group Stage'!$F$2:$F$73='Group Stage'!$E$2:$E$73))*1
)</f>
        <v>9</v>
      </c>
      <c r="Q42" cm="1">
        <f t="array" ref="Q42">SUMPRODUCT(
  ('Group Stage'!$C$2:$C$73=A42)*('Group Stage'!$E$2:$E$73-'Group Stage'!$F$2:$F$73)+
  ('Group Stage'!$D$2:$D$73=A42)*('Group Stage'!$F$2:$F$73-'Group Stage'!$E$2:$E$73)
)</f>
        <v>8</v>
      </c>
      <c r="R42" cm="1">
        <f t="array" ref="R42">SUMPRODUCT(
  ('Group Stage'!$C$2:$C$73=A42)*'Group Stage'!$E$2:$E$73+
  ('Group Stage'!$D$2:$D$73=A42)*'Group Stage'!$F$2:$F$73
)</f>
        <v>8</v>
      </c>
      <c r="S42" cm="1">
        <f t="array" ref="S42">SUMPRODUCT(
  (('Elimination Rounds'!$L$2:$L$49=L42)*
  (('Elimination Rounds'!$P$2:$P$49&gt;P42)+
  ('Elimination Rounds'!$P$2:$P$49=P42)*('Elimination Rounds'!$Q$2:$Q$49&gt;Q42)+
  ('Elimination Rounds'!$P$2:$P$49=P42)*('Elimination Rounds'!$Q$2:$Q$49=Q42)*('Elimination Rounds'!$R$2:$R$49&gt;R42)))
)+1</f>
        <v>1</v>
      </c>
      <c r="U42" t="str">
        <v>Portugal</v>
      </c>
      <c r="V42" t="str">
        <v>K</v>
      </c>
      <c r="W42">
        <v>3</v>
      </c>
      <c r="X42">
        <v>0</v>
      </c>
      <c r="Y42">
        <v>0</v>
      </c>
      <c r="Z42">
        <v>9</v>
      </c>
      <c r="AA42">
        <v>8</v>
      </c>
      <c r="AB42">
        <v>8</v>
      </c>
      <c r="AC42">
        <v>1</v>
      </c>
    </row>
    <row r="43" spans="1:40" x14ac:dyDescent="0.3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>
        <v>1</v>
      </c>
      <c r="F43" s="10"/>
      <c r="G43" s="10"/>
      <c r="H43" s="10"/>
      <c r="I43" s="10"/>
      <c r="K43" s="2" t="s">
        <v>80</v>
      </c>
      <c r="L43" s="3" t="s">
        <v>78</v>
      </c>
      <c r="M43" cm="1">
        <f t="array" ref="M43">SUMPRODUCT(
  (('Group Stage'!$C$2:$C$73=A43)*('Group Stage'!$E$2:$E$73&gt;'Group Stage'!$F$2:$F$73))+
  (('Group Stage'!$D$2:$D$73=A43)*('Group Stage'!$F$2:$F$73&gt;'Group Stage'!$E$2:$E$73))
)</f>
        <v>2</v>
      </c>
      <c r="N43" cm="1">
        <f t="array" ref="N43">SUMPRODUCT(
  (('Group Stage'!$C$2:$C$73=A43)*('Group Stage'!$E$2:$E$73='Group Stage'!$F$2:$F$73))+
  (('Group Stage'!$D$2:$D$73=A43)*('Group Stage'!$F$2:$F$73='Group Stage'!$E$2:$E$73))
)</f>
        <v>0</v>
      </c>
      <c r="O43" cm="1">
        <f t="array" ref="O43">SUMPRODUCT(
  (('Group Stage'!$C$2:$C$73=A43)*('Group Stage'!$E$2:$E$73&lt;'Group Stage'!$F$2:$F$73))+
  (('Group Stage'!$D$2:$D$73=A43)*('Group Stage'!$F$2:$F$73&lt;'Group Stage'!$E$2:$E$73))
)</f>
        <v>1</v>
      </c>
      <c r="P43" cm="1">
        <f t="array" ref="P43">SUMPRODUCT(
  (('Group Stage'!$C$2:$C$73=A43)*('Group Stage'!$E$2:$E$73&gt;'Group Stage'!$F$2:$F$73))*3+
  (('Group Stage'!$D$2:$D$73=A43)*('Group Stage'!$F$2:$F$73&gt;'Group Stage'!$E$2:$E$73))*3+
  (('Group Stage'!$C$2:$C$73=A43)*('Group Stage'!$E$2:$E$73='Group Stage'!$F$2:$F$73))*1+
  (('Group Stage'!$D$2:$D$73=A43)*('Group Stage'!$F$2:$F$73='Group Stage'!$E$2:$E$73))*1
)</f>
        <v>6</v>
      </c>
      <c r="Q43" cm="1">
        <f t="array" ref="Q43">SUMPRODUCT(
  ('Group Stage'!$C$2:$C$73=A43)*('Group Stage'!$E$2:$E$73-'Group Stage'!$F$2:$F$73)+
  ('Group Stage'!$D$2:$D$73=A43)*('Group Stage'!$F$2:$F$73-'Group Stage'!$E$2:$E$73)
)</f>
        <v>2</v>
      </c>
      <c r="R43" cm="1">
        <f t="array" ref="R43">SUMPRODUCT(
  ('Group Stage'!$C$2:$C$73=A43)*'Group Stage'!$E$2:$E$73+
  ('Group Stage'!$D$2:$D$73=A43)*'Group Stage'!$F$2:$F$73
)</f>
        <v>4</v>
      </c>
      <c r="S43" cm="1">
        <f t="array" ref="S43">SUMPRODUCT(
  (('Elimination Rounds'!$L$2:$L$49=L43)*
  (('Elimination Rounds'!$P$2:$P$49&gt;P43)+
  ('Elimination Rounds'!$P$2:$P$49=P43)*('Elimination Rounds'!$Q$2:$Q$49&gt;Q43)+
  ('Elimination Rounds'!$P$2:$P$49=P43)*('Elimination Rounds'!$Q$2:$Q$49=Q43)*('Elimination Rounds'!$R$2:$R$49&gt;R43)))
)+1</f>
        <v>2</v>
      </c>
      <c r="U43" t="str">
        <v>Colombia</v>
      </c>
      <c r="V43" t="str">
        <v>K</v>
      </c>
      <c r="W43">
        <v>2</v>
      </c>
      <c r="X43">
        <v>0</v>
      </c>
      <c r="Y43">
        <v>1</v>
      </c>
      <c r="Z43">
        <v>6</v>
      </c>
      <c r="AA43">
        <v>2</v>
      </c>
      <c r="AB43">
        <v>4</v>
      </c>
      <c r="AC43">
        <v>2</v>
      </c>
      <c r="AF43" s="1" t="s">
        <v>88</v>
      </c>
      <c r="AG43" s="1" t="s">
        <v>89</v>
      </c>
      <c r="AH43" s="18" t="s">
        <v>113</v>
      </c>
      <c r="AI43" s="18" t="s">
        <v>43</v>
      </c>
      <c r="AJ43" s="18" t="s">
        <v>83</v>
      </c>
      <c r="AK43" s="18" t="s">
        <v>114</v>
      </c>
      <c r="AL43" s="18" t="s">
        <v>115</v>
      </c>
      <c r="AM43" s="18" t="s">
        <v>117</v>
      </c>
      <c r="AN43" s="18" t="s">
        <v>116</v>
      </c>
    </row>
    <row r="44" spans="1:40" x14ac:dyDescent="0.35">
      <c r="A44" s="2" t="s">
        <v>81</v>
      </c>
      <c r="B44" s="3" t="str">
        <f t="shared" si="0"/>
        <v>K4</v>
      </c>
      <c r="C44" s="3" t="s">
        <v>78</v>
      </c>
      <c r="D44" s="10">
        <v>4</v>
      </c>
      <c r="E44" s="10"/>
      <c r="F44" s="10"/>
      <c r="G44" s="10"/>
      <c r="H44" s="10"/>
      <c r="I44" s="10"/>
      <c r="K44" s="2" t="s">
        <v>81</v>
      </c>
      <c r="L44" s="3" t="s">
        <v>78</v>
      </c>
      <c r="M44" cm="1">
        <f t="array" ref="M44">SUMPRODUCT(
  (('Group Stage'!$C$2:$C$73=A44)*('Group Stage'!$E$2:$E$73&gt;'Group Stage'!$F$2:$F$73))+
  (('Group Stage'!$D$2:$D$73=A44)*('Group Stage'!$F$2:$F$73&gt;'Group Stage'!$E$2:$E$73))
)</f>
        <v>0</v>
      </c>
      <c r="N44" cm="1">
        <f t="array" ref="N44">SUMPRODUCT(
  (('Group Stage'!$C$2:$C$73=A44)*('Group Stage'!$E$2:$E$73='Group Stage'!$F$2:$F$73))+
  (('Group Stage'!$D$2:$D$73=A44)*('Group Stage'!$F$2:$F$73='Group Stage'!$E$2:$E$73))
)</f>
        <v>1</v>
      </c>
      <c r="O44" cm="1">
        <f t="array" ref="O44">SUMPRODUCT(
  (('Group Stage'!$C$2:$C$73=A44)*('Group Stage'!$E$2:$E$73&lt;'Group Stage'!$F$2:$F$73))+
  (('Group Stage'!$D$2:$D$73=A44)*('Group Stage'!$F$2:$F$73&lt;'Group Stage'!$E$2:$E$73))
)</f>
        <v>2</v>
      </c>
      <c r="P44" cm="1">
        <f t="array" ref="P44">SUMPRODUCT(
  (('Group Stage'!$C$2:$C$73=A44)*('Group Stage'!$E$2:$E$73&gt;'Group Stage'!$F$2:$F$73))*3+
  (('Group Stage'!$D$2:$D$73=A44)*('Group Stage'!$F$2:$F$73&gt;'Group Stage'!$E$2:$E$73))*3+
  (('Group Stage'!$C$2:$C$73=A44)*('Group Stage'!$E$2:$E$73='Group Stage'!$F$2:$F$73))*1+
  (('Group Stage'!$D$2:$D$73=A44)*('Group Stage'!$F$2:$F$73='Group Stage'!$E$2:$E$73))*1
)</f>
        <v>1</v>
      </c>
      <c r="Q44" cm="1">
        <f t="array" ref="Q44">SUMPRODUCT(
  ('Group Stage'!$C$2:$C$73=A44)*('Group Stage'!$E$2:$E$73-'Group Stage'!$F$2:$F$73)+
  ('Group Stage'!$D$2:$D$73=A44)*('Group Stage'!$F$2:$F$73-'Group Stage'!$E$2:$E$73)
)</f>
        <v>-6</v>
      </c>
      <c r="R44" cm="1">
        <f t="array" ref="R44">SUMPRODUCT(
  ('Group Stage'!$C$2:$C$73=A44)*'Group Stage'!$E$2:$E$73+
  ('Group Stage'!$D$2:$D$73=A44)*'Group Stage'!$F$2:$F$73
)</f>
        <v>0</v>
      </c>
      <c r="S44" cm="1">
        <f t="array" ref="S44">SUMPRODUCT(
  (('Elimination Rounds'!$L$2:$L$49=L44)*
  (('Elimination Rounds'!$P$2:$P$49&gt;P44)+
  ('Elimination Rounds'!$P$2:$P$49=P44)*('Elimination Rounds'!$Q$2:$Q$49&gt;Q44)+
  ('Elimination Rounds'!$P$2:$P$49=P44)*('Elimination Rounds'!$Q$2:$Q$49=Q44)*('Elimination Rounds'!$R$2:$R$49&gt;R44)))
)+1</f>
        <v>4</v>
      </c>
      <c r="U44" t="str">
        <v>DR Congo</v>
      </c>
      <c r="V44" t="str">
        <v>K</v>
      </c>
      <c r="W44">
        <v>0</v>
      </c>
      <c r="X44">
        <v>1</v>
      </c>
      <c r="Y44">
        <v>2</v>
      </c>
      <c r="Z44">
        <v>1</v>
      </c>
      <c r="AA44">
        <v>-4</v>
      </c>
      <c r="AB44">
        <v>0</v>
      </c>
      <c r="AC44">
        <v>3</v>
      </c>
      <c r="AF44" s="2" t="str">
        <f>U30</f>
        <v>Spain</v>
      </c>
      <c r="AG44" s="3" t="str">
        <f t="shared" ref="AG44:AN44" si="111">V30</f>
        <v>H</v>
      </c>
      <c r="AH44" s="3">
        <f t="shared" si="111"/>
        <v>3</v>
      </c>
      <c r="AI44" s="3">
        <f t="shared" si="111"/>
        <v>0</v>
      </c>
      <c r="AJ44" s="3">
        <f t="shared" si="111"/>
        <v>0</v>
      </c>
      <c r="AK44" s="3">
        <f t="shared" si="111"/>
        <v>9</v>
      </c>
      <c r="AL44" s="3">
        <f t="shared" si="111"/>
        <v>6</v>
      </c>
      <c r="AM44" s="3">
        <f t="shared" si="111"/>
        <v>6</v>
      </c>
      <c r="AN44" s="3">
        <f t="shared" si="111"/>
        <v>1</v>
      </c>
    </row>
    <row r="45" spans="1:40" x14ac:dyDescent="0.35">
      <c r="A45" s="2" t="s">
        <v>82</v>
      </c>
      <c r="B45" s="3" t="str">
        <f t="shared" si="0"/>
        <v>K3</v>
      </c>
      <c r="C45" s="3" t="s">
        <v>78</v>
      </c>
      <c r="D45" s="10">
        <v>3</v>
      </c>
      <c r="E45" s="10"/>
      <c r="F45" s="10"/>
      <c r="G45" s="10"/>
      <c r="H45" s="10"/>
      <c r="I45" s="10"/>
      <c r="K45" s="2" t="s">
        <v>82</v>
      </c>
      <c r="L45" s="3" t="s">
        <v>78</v>
      </c>
      <c r="M45" cm="1">
        <f t="array" ref="M45">SUMPRODUCT(
  (('Group Stage'!$C$2:$C$73=A45)*('Group Stage'!$E$2:$E$73&gt;'Group Stage'!$F$2:$F$73))+
  (('Group Stage'!$D$2:$D$73=A45)*('Group Stage'!$F$2:$F$73&gt;'Group Stage'!$E$2:$E$73))
)</f>
        <v>0</v>
      </c>
      <c r="N45" cm="1">
        <f t="array" ref="N45">SUMPRODUCT(
  (('Group Stage'!$C$2:$C$73=A45)*('Group Stage'!$E$2:$E$73='Group Stage'!$F$2:$F$73))+
  (('Group Stage'!$D$2:$D$73=A45)*('Group Stage'!$F$2:$F$73='Group Stage'!$E$2:$E$73))
)</f>
        <v>1</v>
      </c>
      <c r="O45" cm="1">
        <f t="array" ref="O45">SUMPRODUCT(
  (('Group Stage'!$C$2:$C$73=A45)*('Group Stage'!$E$2:$E$73&lt;'Group Stage'!$F$2:$F$73))+
  (('Group Stage'!$D$2:$D$73=A45)*('Group Stage'!$F$2:$F$73&lt;'Group Stage'!$E$2:$E$73))
)</f>
        <v>2</v>
      </c>
      <c r="P45" cm="1">
        <f t="array" ref="P45">SUMPRODUCT(
  (('Group Stage'!$C$2:$C$73=A45)*('Group Stage'!$E$2:$E$73&gt;'Group Stage'!$F$2:$F$73))*3+
  (('Group Stage'!$D$2:$D$73=A45)*('Group Stage'!$F$2:$F$73&gt;'Group Stage'!$E$2:$E$73))*3+
  (('Group Stage'!$C$2:$C$73=A45)*('Group Stage'!$E$2:$E$73='Group Stage'!$F$2:$F$73))*1+
  (('Group Stage'!$D$2:$D$73=A45)*('Group Stage'!$F$2:$F$73='Group Stage'!$E$2:$E$73))*1
)</f>
        <v>1</v>
      </c>
      <c r="Q45" cm="1">
        <f t="array" ref="Q45">SUMPRODUCT(
  ('Group Stage'!$C$2:$C$73=A45)*('Group Stage'!$E$2:$E$73-'Group Stage'!$F$2:$F$73)+
  ('Group Stage'!$D$2:$D$73=A45)*('Group Stage'!$F$2:$F$73-'Group Stage'!$E$2:$E$73)
)</f>
        <v>-4</v>
      </c>
      <c r="R45" cm="1">
        <f t="array" ref="R45">SUMPRODUCT(
  ('Group Stage'!$C$2:$C$73=A45)*'Group Stage'!$E$2:$E$73+
  ('Group Stage'!$D$2:$D$73=A45)*'Group Stage'!$F$2:$F$73
)</f>
        <v>0</v>
      </c>
      <c r="S45" cm="1">
        <f t="array" ref="S45">SUMPRODUCT(
  (('Elimination Rounds'!$L$2:$L$49=L45)*
  (('Elimination Rounds'!$P$2:$P$49&gt;P45)+
  ('Elimination Rounds'!$P$2:$P$49=P45)*('Elimination Rounds'!$Q$2:$Q$49&gt;Q45)+
  ('Elimination Rounds'!$P$2:$P$49=P45)*('Elimination Rounds'!$Q$2:$Q$49=Q45)*('Elimination Rounds'!$R$2:$R$49&gt;R45)))
)+1</f>
        <v>3</v>
      </c>
      <c r="U45" t="str">
        <v>Uzbekistan</v>
      </c>
      <c r="V45" t="str">
        <v>K</v>
      </c>
      <c r="W45">
        <v>0</v>
      </c>
      <c r="X45">
        <v>1</v>
      </c>
      <c r="Y45">
        <v>2</v>
      </c>
      <c r="Z45">
        <v>1</v>
      </c>
      <c r="AA45">
        <v>-6</v>
      </c>
      <c r="AB45">
        <v>0</v>
      </c>
      <c r="AC45">
        <v>4</v>
      </c>
      <c r="AF45" s="2" t="str">
        <f t="shared" ref="AF45:AF47" si="112">U31</f>
        <v>Uruguay</v>
      </c>
      <c r="AG45" s="3" t="str">
        <f t="shared" ref="AG45:AG47" si="113">V31</f>
        <v>H</v>
      </c>
      <c r="AH45" s="3">
        <f t="shared" ref="AH45:AH47" si="114">W31</f>
        <v>2</v>
      </c>
      <c r="AI45" s="3">
        <f t="shared" ref="AI45:AI47" si="115">X31</f>
        <v>0</v>
      </c>
      <c r="AJ45" s="3">
        <f t="shared" ref="AJ45:AJ47" si="116">Y31</f>
        <v>1</v>
      </c>
      <c r="AK45" s="3">
        <f t="shared" ref="AK45:AK47" si="117">Z31</f>
        <v>6</v>
      </c>
      <c r="AL45" s="3">
        <f t="shared" ref="AL45:AL47" si="118">AA31</f>
        <v>3</v>
      </c>
      <c r="AM45" s="3">
        <f t="shared" ref="AM45:AM47" si="119">AB31</f>
        <v>4</v>
      </c>
      <c r="AN45" s="3">
        <f t="shared" ref="AN45:AN47" si="120">AC31</f>
        <v>2</v>
      </c>
    </row>
    <row r="46" spans="1:40" x14ac:dyDescent="0.35">
      <c r="A46" s="2" t="s">
        <v>84</v>
      </c>
      <c r="B46" s="3" t="str">
        <f t="shared" si="0"/>
        <v>L1</v>
      </c>
      <c r="C46" s="3" t="s">
        <v>83</v>
      </c>
      <c r="D46" s="10">
        <v>1</v>
      </c>
      <c r="E46" s="10">
        <v>1</v>
      </c>
      <c r="F46" s="10">
        <v>1</v>
      </c>
      <c r="G46" s="10"/>
      <c r="H46" s="10"/>
      <c r="I46" s="10"/>
      <c r="K46" s="2" t="s">
        <v>84</v>
      </c>
      <c r="L46" s="3" t="s">
        <v>83</v>
      </c>
      <c r="M46" cm="1">
        <f t="array" ref="M46">SUMPRODUCT(
  (('Group Stage'!$C$2:$C$73=A46)*('Group Stage'!$E$2:$E$73&gt;'Group Stage'!$F$2:$F$73))+
  (('Group Stage'!$D$2:$D$73=A46)*('Group Stage'!$F$2:$F$73&gt;'Group Stage'!$E$2:$E$73))
)</f>
        <v>3</v>
      </c>
      <c r="N46" cm="1">
        <f t="array" ref="N46">SUMPRODUCT(
  (('Group Stage'!$C$2:$C$73=A46)*('Group Stage'!$E$2:$E$73='Group Stage'!$F$2:$F$73))+
  (('Group Stage'!$D$2:$D$73=A46)*('Group Stage'!$F$2:$F$73='Group Stage'!$E$2:$E$73))
)</f>
        <v>0</v>
      </c>
      <c r="O46" cm="1">
        <f t="array" ref="O46">SUMPRODUCT(
  (('Group Stage'!$C$2:$C$73=A46)*('Group Stage'!$E$2:$E$73&lt;'Group Stage'!$F$2:$F$73))+
  (('Group Stage'!$D$2:$D$73=A46)*('Group Stage'!$F$2:$F$73&lt;'Group Stage'!$E$2:$E$73))
)</f>
        <v>0</v>
      </c>
      <c r="P46" cm="1">
        <f t="array" ref="P46">SUMPRODUCT(
  (('Group Stage'!$C$2:$C$73=A46)*('Group Stage'!$E$2:$E$73&gt;'Group Stage'!$F$2:$F$73))*3+
  (('Group Stage'!$D$2:$D$73=A46)*('Group Stage'!$F$2:$F$73&gt;'Group Stage'!$E$2:$E$73))*3+
  (('Group Stage'!$C$2:$C$73=A46)*('Group Stage'!$E$2:$E$73='Group Stage'!$F$2:$F$73))*1+
  (('Group Stage'!$D$2:$D$73=A46)*('Group Stage'!$F$2:$F$73='Group Stage'!$E$2:$E$73))*1
)</f>
        <v>9</v>
      </c>
      <c r="Q46" cm="1">
        <f t="array" ref="Q46">SUMPRODUCT(
  ('Group Stage'!$C$2:$C$73=A46)*('Group Stage'!$E$2:$E$73-'Group Stage'!$F$2:$F$73)+
  ('Group Stage'!$D$2:$D$73=A46)*('Group Stage'!$F$2:$F$73-'Group Stage'!$E$2:$E$73)
)</f>
        <v>4</v>
      </c>
      <c r="R46" cm="1">
        <f t="array" ref="R46">SUMPRODUCT(
  ('Group Stage'!$C$2:$C$73=A46)*'Group Stage'!$E$2:$E$73+
  ('Group Stage'!$D$2:$D$73=A46)*'Group Stage'!$F$2:$F$73
)</f>
        <v>5</v>
      </c>
      <c r="S46" cm="1">
        <f t="array" ref="S46">SUMPRODUCT(
  (('Elimination Rounds'!$L$2:$L$49=L46)*
  (('Elimination Rounds'!$P$2:$P$49&gt;P46)+
  ('Elimination Rounds'!$P$2:$P$49=P46)*('Elimination Rounds'!$Q$2:$Q$49&gt;Q46)+
  ('Elimination Rounds'!$P$2:$P$49=P46)*('Elimination Rounds'!$Q$2:$Q$49=Q46)*('Elimination Rounds'!$R$2:$R$49&gt;R46)))
)+1</f>
        <v>1</v>
      </c>
      <c r="U46" t="str">
        <v>England</v>
      </c>
      <c r="V46" t="str">
        <v>L</v>
      </c>
      <c r="W46">
        <v>3</v>
      </c>
      <c r="X46">
        <v>0</v>
      </c>
      <c r="Y46">
        <v>0</v>
      </c>
      <c r="Z46">
        <v>9</v>
      </c>
      <c r="AA46">
        <v>4</v>
      </c>
      <c r="AB46">
        <v>5</v>
      </c>
      <c r="AC46">
        <v>1</v>
      </c>
      <c r="AF46" s="2" t="str">
        <f t="shared" si="112"/>
        <v>Cape Verde</v>
      </c>
      <c r="AG46" s="3" t="str">
        <f t="shared" si="113"/>
        <v>H</v>
      </c>
      <c r="AH46" s="3">
        <f t="shared" si="114"/>
        <v>0</v>
      </c>
      <c r="AI46" s="3">
        <f t="shared" si="115"/>
        <v>1</v>
      </c>
      <c r="AJ46" s="3">
        <f t="shared" si="116"/>
        <v>2</v>
      </c>
      <c r="AK46" s="3">
        <f t="shared" si="117"/>
        <v>1</v>
      </c>
      <c r="AL46" s="3">
        <f t="shared" si="118"/>
        <v>-4</v>
      </c>
      <c r="AM46" s="3">
        <f t="shared" si="119"/>
        <v>0</v>
      </c>
      <c r="AN46" s="3">
        <f t="shared" si="120"/>
        <v>3</v>
      </c>
    </row>
    <row r="47" spans="1:40" x14ac:dyDescent="0.35">
      <c r="A47" s="2" t="s">
        <v>85</v>
      </c>
      <c r="B47" s="3" t="str">
        <f t="shared" si="0"/>
        <v>L2</v>
      </c>
      <c r="C47" s="3" t="s">
        <v>83</v>
      </c>
      <c r="D47" s="10">
        <v>2</v>
      </c>
      <c r="E47" s="10"/>
      <c r="F47" s="10"/>
      <c r="G47" s="10"/>
      <c r="H47" s="10"/>
      <c r="I47" s="10"/>
      <c r="K47" s="2" t="s">
        <v>85</v>
      </c>
      <c r="L47" s="3" t="s">
        <v>83</v>
      </c>
      <c r="M47" cm="1">
        <f t="array" ref="M47">SUMPRODUCT(
  (('Group Stage'!$C$2:$C$73=A47)*('Group Stage'!$E$2:$E$73&gt;'Group Stage'!$F$2:$F$73))+
  (('Group Stage'!$D$2:$D$73=A47)*('Group Stage'!$F$2:$F$73&gt;'Group Stage'!$E$2:$E$73))
)</f>
        <v>1</v>
      </c>
      <c r="N47" cm="1">
        <f t="array" ref="N47">SUMPRODUCT(
  (('Group Stage'!$C$2:$C$73=A47)*('Group Stage'!$E$2:$E$73='Group Stage'!$F$2:$F$73))+
  (('Group Stage'!$D$2:$D$73=A47)*('Group Stage'!$F$2:$F$73='Group Stage'!$E$2:$E$73))
)</f>
        <v>1</v>
      </c>
      <c r="O47" cm="1">
        <f t="array" ref="O47">SUMPRODUCT(
  (('Group Stage'!$C$2:$C$73=A47)*('Group Stage'!$E$2:$E$73&lt;'Group Stage'!$F$2:$F$73))+
  (('Group Stage'!$D$2:$D$73=A47)*('Group Stage'!$F$2:$F$73&lt;'Group Stage'!$E$2:$E$73))
)</f>
        <v>1</v>
      </c>
      <c r="P47" cm="1">
        <f t="array" ref="P47">SUMPRODUCT(
  (('Group Stage'!$C$2:$C$73=A47)*('Group Stage'!$E$2:$E$73&gt;'Group Stage'!$F$2:$F$73))*3+
  (('Group Stage'!$D$2:$D$73=A47)*('Group Stage'!$F$2:$F$73&gt;'Group Stage'!$E$2:$E$73))*3+
  (('Group Stage'!$C$2:$C$73=A47)*('Group Stage'!$E$2:$E$73='Group Stage'!$F$2:$F$73))*1+
  (('Group Stage'!$D$2:$D$73=A47)*('Group Stage'!$F$2:$F$73='Group Stage'!$E$2:$E$73))*1
)</f>
        <v>4</v>
      </c>
      <c r="Q47" cm="1">
        <f t="array" ref="Q47">SUMPRODUCT(
  ('Group Stage'!$C$2:$C$73=A47)*('Group Stage'!$E$2:$E$73-'Group Stage'!$F$2:$F$73)+
  ('Group Stage'!$D$2:$D$73=A47)*('Group Stage'!$F$2:$F$73-'Group Stage'!$E$2:$E$73)
)</f>
        <v>1</v>
      </c>
      <c r="R47" cm="1">
        <f t="array" ref="R47">SUMPRODUCT(
  ('Group Stage'!$C$2:$C$73=A47)*'Group Stage'!$E$2:$E$73+
  ('Group Stage'!$D$2:$D$73=A47)*'Group Stage'!$F$2:$F$73
)</f>
        <v>4</v>
      </c>
      <c r="S47" cm="1">
        <f t="array" ref="S47">SUMPRODUCT(
  (('Elimination Rounds'!$L$2:$L$49=L47)*
  (('Elimination Rounds'!$P$2:$P$49&gt;P47)+
  ('Elimination Rounds'!$P$2:$P$49=P47)*('Elimination Rounds'!$Q$2:$Q$49&gt;Q47)+
  ('Elimination Rounds'!$P$2:$P$49=P47)*('Elimination Rounds'!$Q$2:$Q$49=Q47)*('Elimination Rounds'!$R$2:$R$49&gt;R47)))
)+1</f>
        <v>2</v>
      </c>
      <c r="U47" t="str">
        <v>Croatia</v>
      </c>
      <c r="V47" t="str">
        <v>L</v>
      </c>
      <c r="W47">
        <v>1</v>
      </c>
      <c r="X47">
        <v>1</v>
      </c>
      <c r="Y47">
        <v>1</v>
      </c>
      <c r="Z47">
        <v>4</v>
      </c>
      <c r="AA47">
        <v>1</v>
      </c>
      <c r="AB47">
        <v>4</v>
      </c>
      <c r="AC47">
        <v>2</v>
      </c>
      <c r="AF47" s="2" t="str">
        <f t="shared" si="112"/>
        <v>Saudi Arabia</v>
      </c>
      <c r="AG47" s="3" t="str">
        <f t="shared" si="113"/>
        <v>H</v>
      </c>
      <c r="AH47" s="3">
        <f t="shared" si="114"/>
        <v>0</v>
      </c>
      <c r="AI47" s="3">
        <f t="shared" si="115"/>
        <v>1</v>
      </c>
      <c r="AJ47" s="3">
        <f t="shared" si="116"/>
        <v>2</v>
      </c>
      <c r="AK47" s="3">
        <f t="shared" si="117"/>
        <v>1</v>
      </c>
      <c r="AL47" s="3">
        <f t="shared" si="118"/>
        <v>-5</v>
      </c>
      <c r="AM47" s="3">
        <f t="shared" si="119"/>
        <v>0</v>
      </c>
      <c r="AN47" s="3">
        <f t="shared" si="120"/>
        <v>4</v>
      </c>
    </row>
    <row r="48" spans="1:40" x14ac:dyDescent="0.35">
      <c r="A48" s="2" t="s">
        <v>86</v>
      </c>
      <c r="B48" s="3" t="str">
        <f t="shared" si="0"/>
        <v>L4</v>
      </c>
      <c r="C48" s="3" t="s">
        <v>83</v>
      </c>
      <c r="D48" s="10">
        <v>4</v>
      </c>
      <c r="E48" s="10"/>
      <c r="F48" s="10"/>
      <c r="G48" s="10"/>
      <c r="H48" s="10"/>
      <c r="I48" s="10"/>
      <c r="K48" s="2" t="s">
        <v>86</v>
      </c>
      <c r="L48" s="3" t="s">
        <v>83</v>
      </c>
      <c r="M48" cm="1">
        <f t="array" ref="M48">SUMPRODUCT(
  (('Group Stage'!$C$2:$C$73=A48)*('Group Stage'!$E$2:$E$73&gt;'Group Stage'!$F$2:$F$73))+
  (('Group Stage'!$D$2:$D$73=A48)*('Group Stage'!$F$2:$F$73&gt;'Group Stage'!$E$2:$E$73))
)</f>
        <v>0</v>
      </c>
      <c r="N48" cm="1">
        <f t="array" ref="N48">SUMPRODUCT(
  (('Group Stage'!$C$2:$C$73=A48)*('Group Stage'!$E$2:$E$73='Group Stage'!$F$2:$F$73))+
  (('Group Stage'!$D$2:$D$73=A48)*('Group Stage'!$F$2:$F$73='Group Stage'!$E$2:$E$73))
)</f>
        <v>0</v>
      </c>
      <c r="O48" cm="1">
        <f t="array" ref="O48">SUMPRODUCT(
  (('Group Stage'!$C$2:$C$73=A48)*('Group Stage'!$E$2:$E$73&lt;'Group Stage'!$F$2:$F$73))+
  (('Group Stage'!$D$2:$D$73=A48)*('Group Stage'!$F$2:$F$73&lt;'Group Stage'!$E$2:$E$73))
)</f>
        <v>3</v>
      </c>
      <c r="P48" cm="1">
        <f t="array" ref="P48">SUMPRODUCT(
  (('Group Stage'!$C$2:$C$73=A48)*('Group Stage'!$E$2:$E$73&gt;'Group Stage'!$F$2:$F$73))*3+
  (('Group Stage'!$D$2:$D$73=A48)*('Group Stage'!$F$2:$F$73&gt;'Group Stage'!$E$2:$E$73))*3+
  (('Group Stage'!$C$2:$C$73=A48)*('Group Stage'!$E$2:$E$73='Group Stage'!$F$2:$F$73))*1+
  (('Group Stage'!$D$2:$D$73=A48)*('Group Stage'!$F$2:$F$73='Group Stage'!$E$2:$E$73))*1
)</f>
        <v>0</v>
      </c>
      <c r="Q48" cm="1">
        <f t="array" ref="Q48">SUMPRODUCT(
  ('Group Stage'!$C$2:$C$73=A48)*('Group Stage'!$E$2:$E$73-'Group Stage'!$F$2:$F$73)+
  ('Group Stage'!$D$2:$D$73=A48)*('Group Stage'!$F$2:$F$73-'Group Stage'!$E$2:$E$73)
)</f>
        <v>-5</v>
      </c>
      <c r="R48" cm="1">
        <f t="array" ref="R48">SUMPRODUCT(
  ('Group Stage'!$C$2:$C$73=A48)*'Group Stage'!$E$2:$E$73+
  ('Group Stage'!$D$2:$D$73=A48)*'Group Stage'!$F$2:$F$73
)</f>
        <v>0</v>
      </c>
      <c r="S48" cm="1">
        <f t="array" ref="S48">SUMPRODUCT(
  (('Elimination Rounds'!$L$2:$L$49=L48)*
  (('Elimination Rounds'!$P$2:$P$49&gt;P48)+
  ('Elimination Rounds'!$P$2:$P$49=P48)*('Elimination Rounds'!$Q$2:$Q$49&gt;Q48)+
  ('Elimination Rounds'!$P$2:$P$49=P48)*('Elimination Rounds'!$Q$2:$Q$49=Q48)*('Elimination Rounds'!$R$2:$R$49&gt;R48)))
)+1</f>
        <v>4</v>
      </c>
      <c r="U48" t="str">
        <v>Ghana</v>
      </c>
      <c r="V48" t="str">
        <v>L</v>
      </c>
      <c r="W48">
        <v>1</v>
      </c>
      <c r="X48">
        <v>1</v>
      </c>
      <c r="Y48">
        <v>1</v>
      </c>
      <c r="Z48">
        <v>4</v>
      </c>
      <c r="AA48">
        <v>0</v>
      </c>
      <c r="AB48">
        <v>2</v>
      </c>
      <c r="AC48">
        <v>3</v>
      </c>
    </row>
    <row r="49" spans="1:29" x14ac:dyDescent="0.35">
      <c r="A49" s="2" t="s">
        <v>87</v>
      </c>
      <c r="B49" s="3" t="str">
        <f t="shared" si="0"/>
        <v>L3</v>
      </c>
      <c r="C49" s="3" t="s">
        <v>83</v>
      </c>
      <c r="D49" s="10">
        <v>3</v>
      </c>
      <c r="E49" s="10"/>
      <c r="F49" s="10"/>
      <c r="G49" s="10"/>
      <c r="H49" s="10"/>
      <c r="I49" s="10"/>
      <c r="K49" s="2" t="s">
        <v>87</v>
      </c>
      <c r="L49" s="3" t="s">
        <v>83</v>
      </c>
      <c r="M49" cm="1">
        <f t="array" ref="M49">SUMPRODUCT(
  (('Group Stage'!$C$2:$C$73=A49)*('Group Stage'!$E$2:$E$73&gt;'Group Stage'!$F$2:$F$73))+
  (('Group Stage'!$D$2:$D$73=A49)*('Group Stage'!$F$2:$F$73&gt;'Group Stage'!$E$2:$E$73))
)</f>
        <v>1</v>
      </c>
      <c r="N49" cm="1">
        <f t="array" ref="N49">SUMPRODUCT(
  (('Group Stage'!$C$2:$C$73=A49)*('Group Stage'!$E$2:$E$73='Group Stage'!$F$2:$F$73))+
  (('Group Stage'!$D$2:$D$73=A49)*('Group Stage'!$F$2:$F$73='Group Stage'!$E$2:$E$73))
)</f>
        <v>1</v>
      </c>
      <c r="O49" cm="1">
        <f t="array" ref="O49">SUMPRODUCT(
  (('Group Stage'!$C$2:$C$73=A49)*('Group Stage'!$E$2:$E$73&lt;'Group Stage'!$F$2:$F$73))+
  (('Group Stage'!$D$2:$D$73=A49)*('Group Stage'!$F$2:$F$73&lt;'Group Stage'!$E$2:$E$73))
)</f>
        <v>1</v>
      </c>
      <c r="P49" cm="1">
        <f t="array" ref="P49">SUMPRODUCT(
  (('Group Stage'!$C$2:$C$73=A49)*('Group Stage'!$E$2:$E$73&gt;'Group Stage'!$F$2:$F$73))*3+
  (('Group Stage'!$D$2:$D$73=A49)*('Group Stage'!$F$2:$F$73&gt;'Group Stage'!$E$2:$E$73))*3+
  (('Group Stage'!$C$2:$C$73=A49)*('Group Stage'!$E$2:$E$73='Group Stage'!$F$2:$F$73))*1+
  (('Group Stage'!$D$2:$D$73=A49)*('Group Stage'!$F$2:$F$73='Group Stage'!$E$2:$E$73))*1
)</f>
        <v>4</v>
      </c>
      <c r="Q49" cm="1">
        <f t="array" ref="Q49">SUMPRODUCT(
  ('Group Stage'!$C$2:$C$73=A49)*('Group Stage'!$E$2:$E$73-'Group Stage'!$F$2:$F$73)+
  ('Group Stage'!$D$2:$D$73=A49)*('Group Stage'!$F$2:$F$73-'Group Stage'!$E$2:$E$73)
)</f>
        <v>0</v>
      </c>
      <c r="R49" cm="1">
        <f t="array" ref="R49">SUMPRODUCT(
  ('Group Stage'!$C$2:$C$73=A49)*'Group Stage'!$E$2:$E$73+
  ('Group Stage'!$D$2:$D$73=A49)*'Group Stage'!$F$2:$F$73
)</f>
        <v>2</v>
      </c>
      <c r="S49" cm="1">
        <f t="array" ref="S49">SUMPRODUCT(
  (('Elimination Rounds'!$L$2:$L$49=L49)*
  (('Elimination Rounds'!$P$2:$P$49&gt;P49)+
  ('Elimination Rounds'!$P$2:$P$49=P49)*('Elimination Rounds'!$Q$2:$Q$49&gt;Q49)+
  ('Elimination Rounds'!$P$2:$P$49=P49)*('Elimination Rounds'!$Q$2:$Q$49=Q49)*('Elimination Rounds'!$R$2:$R$49&gt;R49)))
)+1</f>
        <v>3</v>
      </c>
      <c r="U49" t="str">
        <v>Panama</v>
      </c>
      <c r="V49" t="str">
        <v>L</v>
      </c>
      <c r="W49">
        <v>0</v>
      </c>
      <c r="X49">
        <v>0</v>
      </c>
      <c r="Y49">
        <v>3</v>
      </c>
      <c r="Z49">
        <v>0</v>
      </c>
      <c r="AA49">
        <v>-5</v>
      </c>
      <c r="AB49">
        <v>0</v>
      </c>
      <c r="AC49">
        <v>4</v>
      </c>
    </row>
  </sheetData>
  <autoFilter ref="AF7:AN7" xr:uid="{00000000-0001-0000-0200-000000000000}">
    <sortState xmlns:xlrd2="http://schemas.microsoft.com/office/spreadsheetml/2017/richdata2" ref="AF8:AN11">
      <sortCondition ref="AN7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H18" sqref="H18"/>
    </sheetView>
  </sheetViews>
  <sheetFormatPr defaultColWidth="8.6328125" defaultRowHeight="14.5" x14ac:dyDescent="0.35"/>
  <cols>
    <col min="1" max="1" width="26" customWidth="1"/>
    <col min="2" max="2" width="26.453125" customWidth="1"/>
    <col min="3" max="3" width="20.54296875" customWidth="1"/>
    <col min="4" max="4" width="28.26953125" customWidth="1"/>
    <col min="5" max="5" width="31.26953125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3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Czechia</v>
      </c>
      <c r="E2" s="3" t="str">
        <f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3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Switzerland</v>
      </c>
      <c r="C3" s="3" t="str">
        <f>IF(ISNA(MATCH($A3&amp;C$1,'Elimination Rounds'!$B$2:$B$49,0)),"Choice not made!",INDEX('Elimination Rounds'!$A$2:$A$49,MATCH($A3&amp;C$1,'Elimination Rounds'!$B$2:$B$49,0)))</f>
        <v>Canada</v>
      </c>
      <c r="D3" s="3" t="str">
        <f>IF(ISNA(MATCH($A3&amp;D$1,'Elimination Rounds'!$B$2:$B$49,0)),"Choice not made!",INDEX('Elimination Rounds'!$A$2:$A$49,MATCH($A3&amp;D$1,'Elimination Rounds'!$B$2:$B$49,0)))</f>
        <v>Bosnia-Herzegovina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3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3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Turkiye</v>
      </c>
      <c r="C5" s="3" t="str">
        <f>IF(ISNA(MATCH($A5&amp;C$1,'Elimination Rounds'!$B$2:$B$49,0)),"Choice not made!",INDEX('Elimination Rounds'!$A$2:$A$49,MATCH($A5&amp;C$1,'Elimination Rounds'!$B$2:$B$49,0)))</f>
        <v>USA</v>
      </c>
      <c r="D5" s="3" t="str">
        <f>IF(ISNA(MATCH($A5&amp;D$1,'Elimination Rounds'!$B$2:$B$49,0)),"Choice not made!",INDEX('Elimination Rounds'!$A$2:$A$49,MATCH($A5&amp;D$1,'Elimination Rounds'!$B$2:$B$49,0)))</f>
        <v>Australia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3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Ecuador</v>
      </c>
      <c r="D6" s="3" t="str">
        <f>IF(ISNA(MATCH($A6&amp;D$1,'Elimination Rounds'!$B$2:$B$49,0)),"Choice not made!",INDEX('Elimination Rounds'!$A$2:$A$49,MATCH($A6&amp;D$1,'Elimination Rounds'!$B$2:$B$49,0)))</f>
        <v>Ivory Coast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3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Japan</v>
      </c>
      <c r="D7" s="3" t="str">
        <f>IF(ISNA(MATCH($A7&amp;D$1,'Elimination Rounds'!$B$2:$B$49,0)),"Choice not made!",INDEX('Elimination Rounds'!$A$2:$A$49,MATCH($A7&amp;D$1,'Elimination Rounds'!$B$2:$B$49,0)))</f>
        <v>Sweden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3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Egypt</v>
      </c>
      <c r="D8" s="3" t="str">
        <f>IF(ISNA(MATCH($A8&amp;D$1,'Elimination Rounds'!$B$2:$B$49,0)),"Choice not made!",INDEX('Elimination Rounds'!$A$2:$A$49,MATCH($A8&amp;D$1,'Elimination Rounds'!$B$2:$B$49,0)))</f>
        <v>Iran</v>
      </c>
      <c r="E8" s="3" t="str">
        <f>IF(ISNA(MATCH($A8&amp;E$1,'Elimination Rounds'!$B$2:$B$49,0)),"Choice not made!",INDEX('Elimination Rounds'!$A$2:$A$49,MATCH($A8&amp;E$1,'Elimination Rounds'!$B$2:$B$49,0)))</f>
        <v>New Zealand</v>
      </c>
      <c r="G8" s="1" t="s">
        <v>111</v>
      </c>
      <c r="H8" s="1" t="s">
        <v>98</v>
      </c>
    </row>
    <row r="9" spans="1:9" x14ac:dyDescent="0.3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Cape Verde</v>
      </c>
      <c r="E9" s="3" t="str">
        <f>IF(ISNA(MATCH($A9&amp;E$1,'Elimination Rounds'!$B$2:$B$49,0)),"Choice not made!",INDEX('Elimination Rounds'!$A$2:$A$49,MATCH($A9&amp;E$1,'Elimination Rounds'!$B$2:$B$49,0)))</f>
        <v>Saudi Arabia</v>
      </c>
      <c r="G9" s="16" t="s">
        <v>112</v>
      </c>
      <c r="H9" t="str">
        <f>IF('Group Stage'!J5=72,"GOOD TO GO!","SOME GAMES NOT PICKED")</f>
        <v>GOOD TO GO!</v>
      </c>
    </row>
    <row r="10" spans="1:9" x14ac:dyDescent="0.3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3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DR Congo</v>
      </c>
      <c r="E12" s="3" t="str">
        <f>IF(ISNA(MATCH($A12&amp;E$1,'Elimination Rounds'!$B$2:$B$49,0)),"Choice not made!",INDEX('Elimination Rounds'!$A$2:$A$49,MATCH($A12&amp;E$1,'Elimination Rounds'!$B$2:$B$49,0)))</f>
        <v>Uzbekistan</v>
      </c>
    </row>
    <row r="13" spans="1:9" x14ac:dyDescent="0.3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Ghana</v>
      </c>
      <c r="E13" s="3" t="str">
        <f>IF(ISNA(MATCH($A13&amp;E$1,'Elimination Rounds'!$B$2:$B$49,0)),"Choice not made!",INDEX('Elimination Rounds'!$A$2:$A$49,MATCH($A13&amp;E$1,'Elimination Rounds'!$B$2:$B$49,0)))</f>
        <v>Panama</v>
      </c>
    </row>
    <row r="16" spans="1:9" x14ac:dyDescent="0.35">
      <c r="A16" s="13" t="s">
        <v>109</v>
      </c>
      <c r="B16" s="14">
        <f>COUNTIF(B2:E13,"Choice not made!")+COUNTIF(H2:H6,"DID NOT SELECT CORRECT NUMBER")</f>
        <v>0</v>
      </c>
    </row>
    <row r="18" spans="1:6" x14ac:dyDescent="0.3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35">
      <c r="A19" s="17"/>
      <c r="B19" s="17"/>
      <c r="C19" s="17"/>
      <c r="D19" s="17"/>
      <c r="E19" s="17"/>
      <c r="F19" s="17"/>
    </row>
    <row r="20" spans="1:6" x14ac:dyDescent="0.3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Elliott Day</cp:lastModifiedBy>
  <cp:revision>0</cp:revision>
  <dcterms:created xsi:type="dcterms:W3CDTF">2026-06-03T12:18:58Z</dcterms:created>
  <dcterms:modified xsi:type="dcterms:W3CDTF">2026-06-09T05:44:06Z</dcterms:modified>
  <dc:language>en-US</dc:language>
</cp:coreProperties>
</file>