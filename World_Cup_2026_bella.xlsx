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0" yWindow="2530" windowWidth="23320" windowHeight="15790" tabRatio="500" firstSheet="0" activeTab="3" autoFilterDateGrouping="1"/>
  </bookViews>
  <sheets>
    <sheet xmlns:r="http://schemas.openxmlformats.org/officeDocument/2006/relationships" name="Scoring Rules" sheetId="1" state="visible" r:id="rId1"/>
    <sheet xmlns:r="http://schemas.openxmlformats.org/officeDocument/2006/relationships" name="Group Stage" sheetId="2" state="visible" r:id="rId2"/>
    <sheet xmlns:r="http://schemas.openxmlformats.org/officeDocument/2006/relationships" name="Elimination Rounds" sheetId="3" state="visible" r:id="rId3"/>
    <sheet xmlns:r="http://schemas.openxmlformats.org/officeDocument/2006/relationships" name="Check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i val="1"/>
      <sz val="9"/>
    </font>
    <font>
      <name val="Arial"/>
      <charset val="1"/>
      <i val="1"/>
      <sz val="8"/>
    </font>
    <font>
      <name val="Arial"/>
      <family val="2"/>
      <b val="1"/>
      <sz val="12"/>
    </font>
    <font>
      <name val="Arial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1F2"/>
        <bgColor rgb="FFC6EFCE"/>
      </patternFill>
    </fill>
    <fill>
      <patternFill patternType="solid">
        <fgColor rgb="FF8EAADB"/>
        <bgColor rgb="FF96969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dxfs count="7">
    <dxf>
      <fill>
        <patternFill>
          <bgColor theme="6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9C0006"/>
        <sz val="28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28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selection activeCell="A13" sqref="A13"/>
    </sheetView>
  </sheetViews>
  <sheetFormatPr baseColWidth="8" defaultColWidth="8.6328125" defaultRowHeight="14.5"/>
  <cols>
    <col width="58" customWidth="1" min="1" max="1"/>
    <col width="10" customWidth="1" min="2" max="2"/>
    <col width="16" customWidth="1" min="3" max="3"/>
  </cols>
  <sheetData>
    <row r="1">
      <c r="A1" s="1" t="inlineStr">
        <is>
          <t>Outcome</t>
        </is>
      </c>
      <c r="B1" s="1" t="inlineStr">
        <is>
          <t>Points</t>
        </is>
      </c>
      <c r="C1" s="1" t="inlineStr">
        <is>
          <t>Potential points</t>
        </is>
      </c>
    </row>
    <row r="2">
      <c r="A2" s="2" t="inlineStr">
        <is>
          <t>Correctly guessing Win/Loss/Draw of group game</t>
        </is>
      </c>
      <c r="B2" s="3" t="inlineStr">
        <is>
          <t>+1</t>
        </is>
      </c>
      <c r="C2" s="3" t="n">
        <v>72</v>
      </c>
    </row>
    <row r="3">
      <c r="A3" s="2" t="inlineStr">
        <is>
          <t>Correctly guessing exact score of group game</t>
        </is>
      </c>
      <c r="B3" s="3" t="inlineStr">
        <is>
          <t>+2</t>
        </is>
      </c>
      <c r="C3" s="3" t="n">
        <v>144</v>
      </c>
    </row>
    <row r="4">
      <c r="A4" s="2" t="inlineStr">
        <is>
          <t>Correctly picking group winner (A-L)</t>
        </is>
      </c>
      <c r="B4" s="3" t="inlineStr">
        <is>
          <t>+2</t>
        </is>
      </c>
      <c r="C4" s="3" t="n">
        <v>24</v>
      </c>
    </row>
    <row r="5">
      <c r="A5" s="2" t="inlineStr">
        <is>
          <t>Correctly picking each non-winning group place</t>
        </is>
      </c>
      <c r="B5" s="3" t="inlineStr">
        <is>
          <t>+1</t>
        </is>
      </c>
      <c r="C5" s="3" t="n">
        <v>36</v>
      </c>
    </row>
    <row r="6">
      <c r="A6" s="2" t="inlineStr">
        <is>
          <t>Correctly picking each team in Round of 16</t>
        </is>
      </c>
      <c r="B6" s="3" t="inlineStr">
        <is>
          <t>+2</t>
        </is>
      </c>
      <c r="C6" s="3" t="n">
        <v>32</v>
      </c>
    </row>
    <row r="7">
      <c r="A7" s="2" t="inlineStr">
        <is>
          <t>Correctly picking each team in Quarter-finals</t>
        </is>
      </c>
      <c r="B7" s="3" t="inlineStr">
        <is>
          <t>+4</t>
        </is>
      </c>
      <c r="C7" s="3" t="n">
        <v>32</v>
      </c>
    </row>
    <row r="8">
      <c r="A8" s="2" t="inlineStr">
        <is>
          <t>Correctly picking each team in Semi-finals</t>
        </is>
      </c>
      <c r="B8" s="3" t="inlineStr">
        <is>
          <t>+8</t>
        </is>
      </c>
      <c r="C8" s="3" t="n">
        <v>32</v>
      </c>
    </row>
    <row r="9">
      <c r="A9" s="2" t="inlineStr">
        <is>
          <t>Correctly picking each Final team</t>
        </is>
      </c>
      <c r="B9" s="3" t="inlineStr">
        <is>
          <t>+16</t>
        </is>
      </c>
      <c r="C9" s="3" t="n">
        <v>32</v>
      </c>
    </row>
    <row r="10">
      <c r="A10" s="2" t="inlineStr">
        <is>
          <t>Correctly picking World Cup Winner</t>
        </is>
      </c>
      <c r="B10" s="3" t="inlineStr">
        <is>
          <t>+32</t>
        </is>
      </c>
      <c r="C10" s="3" t="n">
        <v>32</v>
      </c>
    </row>
    <row r="11">
      <c r="A11" s="4" t="inlineStr">
        <is>
          <t>TOTAL</t>
        </is>
      </c>
      <c r="B11" s="5" t="n"/>
      <c r="C11" s="6">
        <f>SUM(C2:C10)</f>
        <v/>
      </c>
    </row>
    <row r="13">
      <c r="A13" s="7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8" defaultColWidth="8.6328125" defaultRowHeight="14.5"/>
  <cols>
    <col width="8" customWidth="1" min="1" max="2"/>
    <col width="18" customWidth="1" min="3" max="4"/>
    <col width="12" customWidth="1" min="5" max="6"/>
    <col width="15" customWidth="1" min="7" max="7"/>
    <col width="3" customWidth="1" min="8" max="8"/>
    <col width="11" customWidth="1" min="9" max="9"/>
    <col width="8" customWidth="1" min="10" max="10"/>
  </cols>
  <sheetData>
    <row r="1">
      <c r="A1" s="1" t="inlineStr">
        <is>
          <t>Match</t>
        </is>
      </c>
      <c r="B1" s="1" t="inlineStr">
        <is>
          <t>Group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 Goals</t>
        </is>
      </c>
      <c r="F1" s="1" t="inlineStr">
        <is>
          <t>Away Goals</t>
        </is>
      </c>
      <c r="G1" s="16" t="inlineStr">
        <is>
          <t>Result</t>
        </is>
      </c>
      <c r="I1" s="8" t="inlineStr">
        <is>
          <t>Self check</t>
        </is>
      </c>
      <c r="J1" s="9" t="n"/>
    </row>
    <row r="2">
      <c r="A2" s="3" t="n">
        <v>1</v>
      </c>
      <c r="B2" s="3" t="inlineStr">
        <is>
          <t>A</t>
        </is>
      </c>
      <c r="C2" s="2" t="inlineStr">
        <is>
          <t>Mexico</t>
        </is>
      </c>
      <c r="D2" s="2" t="inlineStr">
        <is>
          <t>South Korea</t>
        </is>
      </c>
      <c r="E2" s="10" t="n">
        <v>2</v>
      </c>
      <c r="F2" s="10" t="n">
        <v>1</v>
      </c>
      <c r="G2" s="3">
        <f>IF(AND(E2&lt;&gt;"",F2&lt;&gt;""),IF(E2&gt;F2,C2,IF(E2&lt;F2,D2,"Draw")),"")</f>
        <v/>
      </c>
      <c r="I2" s="2" t="inlineStr">
        <is>
          <t>Home</t>
        </is>
      </c>
      <c r="J2" s="3">
        <f t="array" ref="J2">SUMPRODUCT((G2:G73=C2:C73)*1)</f>
        <v/>
      </c>
    </row>
    <row r="3">
      <c r="A3" s="3" t="n">
        <v>2</v>
      </c>
      <c r="B3" s="3" t="inlineStr">
        <is>
          <t>A</t>
        </is>
      </c>
      <c r="C3" s="2" t="inlineStr">
        <is>
          <t>South Africa</t>
        </is>
      </c>
      <c r="D3" s="2" t="inlineStr">
        <is>
          <t>Czechia</t>
        </is>
      </c>
      <c r="E3" s="10" t="n">
        <v>2</v>
      </c>
      <c r="F3" s="10" t="n">
        <v>1</v>
      </c>
      <c r="G3" s="3">
        <f>IF(AND(E3&lt;&gt;"",F3&lt;&gt;""),IF(E3&gt;F3,C3,IF(E3&lt;F3,D3,"Draw")),"")</f>
        <v/>
      </c>
      <c r="I3" s="2" t="inlineStr">
        <is>
          <t>Away</t>
        </is>
      </c>
      <c r="J3" s="3">
        <f t="array" ref="J3">SUMPRODUCT((G2:G73=D2:D73)*1)</f>
        <v/>
      </c>
    </row>
    <row r="4">
      <c r="A4" s="3" t="n">
        <v>3</v>
      </c>
      <c r="B4" s="3" t="inlineStr">
        <is>
          <t>A</t>
        </is>
      </c>
      <c r="C4" s="2" t="inlineStr">
        <is>
          <t>Mexico</t>
        </is>
      </c>
      <c r="D4" s="2" t="inlineStr">
        <is>
          <t>South Africa</t>
        </is>
      </c>
      <c r="E4" s="10" t="n">
        <v>2</v>
      </c>
      <c r="F4" s="10" t="n">
        <v>2</v>
      </c>
      <c r="G4" s="3">
        <f>IF(AND(E4&lt;&gt;"",F4&lt;&gt;""),IF(E4&gt;F4,C4,IF(E4&lt;F4,D4,"Draw")),"")</f>
        <v/>
      </c>
      <c r="I4" s="2" t="inlineStr">
        <is>
          <t>Draw</t>
        </is>
      </c>
      <c r="J4" s="3">
        <f>COUNTIF(G2:G73,"Draw")</f>
        <v/>
      </c>
    </row>
    <row r="5">
      <c r="A5" s="3" t="n">
        <v>4</v>
      </c>
      <c r="B5" s="3" t="inlineStr">
        <is>
          <t>A</t>
        </is>
      </c>
      <c r="C5" s="2" t="inlineStr">
        <is>
          <t>South Korea</t>
        </is>
      </c>
      <c r="D5" s="2" t="inlineStr">
        <is>
          <t>Czechia</t>
        </is>
      </c>
      <c r="E5" s="10" t="n">
        <v>2</v>
      </c>
      <c r="F5" s="10" t="n">
        <v>1</v>
      </c>
      <c r="G5" s="3">
        <f>IF(AND(E5&lt;&gt;"",F5&lt;&gt;""),IF(E5&gt;F5,C5,IF(E5&lt;F5,D5,"Draw")),"")</f>
        <v/>
      </c>
      <c r="I5" s="4" t="inlineStr">
        <is>
          <t>TOTAL</t>
        </is>
      </c>
      <c r="J5" s="6">
        <f>SUM(J2:J4)</f>
        <v/>
      </c>
    </row>
    <row r="6">
      <c r="A6" s="3" t="n">
        <v>5</v>
      </c>
      <c r="B6" s="3" t="inlineStr">
        <is>
          <t>A</t>
        </is>
      </c>
      <c r="C6" s="2" t="inlineStr">
        <is>
          <t>Mexico</t>
        </is>
      </c>
      <c r="D6" s="2" t="inlineStr">
        <is>
          <t>Czechia</t>
        </is>
      </c>
      <c r="E6" s="10" t="n">
        <v>1</v>
      </c>
      <c r="F6" s="10" t="n">
        <v>0</v>
      </c>
      <c r="G6" s="3">
        <f>IF(AND(E6&lt;&gt;"",F6&lt;&gt;""),IF(E6&gt;F6,C6,IF(E6&lt;F6,D6,"Draw")),"")</f>
        <v/>
      </c>
      <c r="I6" s="11" t="inlineStr">
        <is>
          <t>(should total 72)</t>
        </is>
      </c>
    </row>
    <row r="7">
      <c r="A7" s="3" t="n">
        <v>6</v>
      </c>
      <c r="B7" s="3" t="inlineStr">
        <is>
          <t>A</t>
        </is>
      </c>
      <c r="C7" s="2" t="inlineStr">
        <is>
          <t>South Korea</t>
        </is>
      </c>
      <c r="D7" s="2" t="inlineStr">
        <is>
          <t>South Africa</t>
        </is>
      </c>
      <c r="E7" s="10" t="n">
        <v>1</v>
      </c>
      <c r="F7" s="10" t="n">
        <v>1</v>
      </c>
      <c r="G7" s="3">
        <f>IF(AND(E7&lt;&gt;"",F7&lt;&gt;""),IF(E7&gt;F7,C7,IF(E7&lt;F7,D7,"Draw")),"")</f>
        <v/>
      </c>
    </row>
    <row r="8">
      <c r="A8" s="3" t="n">
        <v>7</v>
      </c>
      <c r="B8" s="3" t="inlineStr">
        <is>
          <t>B</t>
        </is>
      </c>
      <c r="C8" s="2" t="inlineStr">
        <is>
          <t>Canada</t>
        </is>
      </c>
      <c r="D8" s="2" t="inlineStr">
        <is>
          <t>Switzerland</t>
        </is>
      </c>
      <c r="E8" s="10" t="n">
        <v>1</v>
      </c>
      <c r="F8" s="10" t="n">
        <v>2</v>
      </c>
      <c r="G8" s="3">
        <f>IF(AND(E8&lt;&gt;"",F8&lt;&gt;""),IF(E8&gt;F8,C8,IF(E8&lt;F8,D8,"Draw")),"")</f>
        <v/>
      </c>
    </row>
    <row r="9">
      <c r="A9" s="3" t="n">
        <v>8</v>
      </c>
      <c r="B9" s="3" t="inlineStr">
        <is>
          <t>B</t>
        </is>
      </c>
      <c r="C9" s="2" t="inlineStr">
        <is>
          <t>Qatar</t>
        </is>
      </c>
      <c r="D9" s="2" t="inlineStr">
        <is>
          <t>Bosnia-Herzegovina</t>
        </is>
      </c>
      <c r="E9" s="10" t="n">
        <v>1</v>
      </c>
      <c r="F9" s="10" t="n">
        <v>1</v>
      </c>
      <c r="G9" s="3">
        <f>IF(AND(E9&lt;&gt;"",F9&lt;&gt;""),IF(E9&gt;F9,C9,IF(E9&lt;F9,D9,"Draw")),"")</f>
        <v/>
      </c>
    </row>
    <row r="10">
      <c r="A10" s="3" t="n">
        <v>9</v>
      </c>
      <c r="B10" s="3" t="inlineStr">
        <is>
          <t>B</t>
        </is>
      </c>
      <c r="C10" s="2" t="inlineStr">
        <is>
          <t>Canada</t>
        </is>
      </c>
      <c r="D10" s="2" t="inlineStr">
        <is>
          <t>Qatar</t>
        </is>
      </c>
      <c r="E10" s="10" t="n">
        <v>1</v>
      </c>
      <c r="F10" s="10" t="n">
        <v>1</v>
      </c>
      <c r="G10" s="3">
        <f>IF(AND(E10&lt;&gt;"",F10&lt;&gt;""),IF(E10&gt;F10,C10,IF(E10&lt;F10,D10,"Draw")),"")</f>
        <v/>
      </c>
    </row>
    <row r="11">
      <c r="A11" s="3" t="n">
        <v>10</v>
      </c>
      <c r="B11" s="3" t="inlineStr">
        <is>
          <t>B</t>
        </is>
      </c>
      <c r="C11" s="2" t="inlineStr">
        <is>
          <t>Switzerland</t>
        </is>
      </c>
      <c r="D11" s="2" t="inlineStr">
        <is>
          <t>Bosnia-Herzegovina</t>
        </is>
      </c>
      <c r="E11" s="10" t="n">
        <v>2</v>
      </c>
      <c r="F11" s="10" t="n">
        <v>1</v>
      </c>
      <c r="G11" s="3">
        <f>IF(AND(E11&lt;&gt;"",F11&lt;&gt;""),IF(E11&gt;F11,C11,IF(E11&lt;F11,D11,"Draw")),"")</f>
        <v/>
      </c>
    </row>
    <row r="12">
      <c r="A12" s="3" t="n">
        <v>11</v>
      </c>
      <c r="B12" s="3" t="inlineStr">
        <is>
          <t>B</t>
        </is>
      </c>
      <c r="C12" s="2" t="inlineStr">
        <is>
          <t>Canada</t>
        </is>
      </c>
      <c r="D12" s="2" t="inlineStr">
        <is>
          <t>Bosnia-Herzegovina</t>
        </is>
      </c>
      <c r="E12" s="10" t="n">
        <v>2</v>
      </c>
      <c r="F12" s="10" t="n">
        <v>1</v>
      </c>
      <c r="G12" s="3">
        <f>IF(AND(E12&lt;&gt;"",F12&lt;&gt;""),IF(E12&gt;F12,C12,IF(E12&lt;F12,D12,"Draw")),"")</f>
        <v/>
      </c>
    </row>
    <row r="13">
      <c r="A13" s="3" t="n">
        <v>12</v>
      </c>
      <c r="B13" s="3" t="inlineStr">
        <is>
          <t>B</t>
        </is>
      </c>
      <c r="C13" s="2" t="inlineStr">
        <is>
          <t>Switzerland</t>
        </is>
      </c>
      <c r="D13" s="2" t="inlineStr">
        <is>
          <t>Qatar</t>
        </is>
      </c>
      <c r="E13" s="10" t="n">
        <v>1</v>
      </c>
      <c r="F13" s="10" t="n">
        <v>0</v>
      </c>
      <c r="G13" s="3">
        <f>IF(AND(E13&lt;&gt;"",F13&lt;&gt;""),IF(E13&gt;F13,C13,IF(E13&lt;F13,D13,"Draw")),"")</f>
        <v/>
      </c>
    </row>
    <row r="14">
      <c r="A14" s="3" t="n">
        <v>13</v>
      </c>
      <c r="B14" s="3" t="inlineStr">
        <is>
          <t>C</t>
        </is>
      </c>
      <c r="C14" s="2" t="inlineStr">
        <is>
          <t>Brazil</t>
        </is>
      </c>
      <c r="D14" s="2" t="inlineStr">
        <is>
          <t>Morocco</t>
        </is>
      </c>
      <c r="E14" s="10" t="n">
        <v>2</v>
      </c>
      <c r="F14" s="10" t="n">
        <v>1</v>
      </c>
      <c r="G14" s="3">
        <f>IF(AND(E14&lt;&gt;"",F14&lt;&gt;""),IF(E14&gt;F14,C14,IF(E14&lt;F14,D14,"Draw")),"")</f>
        <v/>
      </c>
    </row>
    <row r="15">
      <c r="A15" s="3" t="n">
        <v>14</v>
      </c>
      <c r="B15" s="3" t="inlineStr">
        <is>
          <t>C</t>
        </is>
      </c>
      <c r="C15" s="2" t="inlineStr">
        <is>
          <t>Scotland</t>
        </is>
      </c>
      <c r="D15" s="2" t="inlineStr">
        <is>
          <t>Haiti</t>
        </is>
      </c>
      <c r="E15" s="10" t="n">
        <v>2</v>
      </c>
      <c r="F15" s="10" t="n">
        <v>0</v>
      </c>
      <c r="G15" s="3">
        <f>IF(AND(E15&lt;&gt;"",F15&lt;&gt;""),IF(E15&gt;F15,C15,IF(E15&lt;F15,D15,"Draw")),"")</f>
        <v/>
      </c>
    </row>
    <row r="16">
      <c r="A16" s="3" t="n">
        <v>15</v>
      </c>
      <c r="B16" s="3" t="inlineStr">
        <is>
          <t>C</t>
        </is>
      </c>
      <c r="C16" s="2" t="inlineStr">
        <is>
          <t>Brazil</t>
        </is>
      </c>
      <c r="D16" s="2" t="inlineStr">
        <is>
          <t>Scotland</t>
        </is>
      </c>
      <c r="E16" s="10" t="n">
        <v>1</v>
      </c>
      <c r="F16" s="10" t="n">
        <v>0</v>
      </c>
      <c r="G16" s="3">
        <f>IF(AND(E16&lt;&gt;"",F16&lt;&gt;""),IF(E16&gt;F16,C16,IF(E16&lt;F16,D16,"Draw")),"")</f>
        <v/>
      </c>
    </row>
    <row r="17">
      <c r="A17" s="3" t="n">
        <v>16</v>
      </c>
      <c r="B17" s="3" t="inlineStr">
        <is>
          <t>C</t>
        </is>
      </c>
      <c r="C17" s="2" t="inlineStr">
        <is>
          <t>Morocco</t>
        </is>
      </c>
      <c r="D17" s="2" t="inlineStr">
        <is>
          <t>Haiti</t>
        </is>
      </c>
      <c r="E17" s="10" t="n">
        <v>1</v>
      </c>
      <c r="F17" s="10" t="n">
        <v>0</v>
      </c>
      <c r="G17" s="3">
        <f>IF(AND(E17&lt;&gt;"",F17&lt;&gt;""),IF(E17&gt;F17,C17,IF(E17&lt;F17,D17,"Draw")),"")</f>
        <v/>
      </c>
    </row>
    <row r="18">
      <c r="A18" s="3" t="n">
        <v>17</v>
      </c>
      <c r="B18" s="3" t="inlineStr">
        <is>
          <t>C</t>
        </is>
      </c>
      <c r="C18" s="2" t="inlineStr">
        <is>
          <t>Brazil</t>
        </is>
      </c>
      <c r="D18" s="2" t="inlineStr">
        <is>
          <t>Haiti</t>
        </is>
      </c>
      <c r="E18" s="10" t="n">
        <v>2</v>
      </c>
      <c r="F18" s="10" t="n">
        <v>0</v>
      </c>
      <c r="G18" s="3">
        <f>IF(AND(E18&lt;&gt;"",F18&lt;&gt;""),IF(E18&gt;F18,C18,IF(E18&lt;F18,D18,"Draw")),"")</f>
        <v/>
      </c>
    </row>
    <row r="19">
      <c r="A19" s="3" t="n">
        <v>18</v>
      </c>
      <c r="B19" s="3" t="inlineStr">
        <is>
          <t>C</t>
        </is>
      </c>
      <c r="C19" s="2" t="inlineStr">
        <is>
          <t>Morocco</t>
        </is>
      </c>
      <c r="D19" s="2" t="inlineStr">
        <is>
          <t>Scotland</t>
        </is>
      </c>
      <c r="E19" s="10" t="n">
        <v>1</v>
      </c>
      <c r="F19" s="10" t="n">
        <v>0</v>
      </c>
      <c r="G19" s="3">
        <f>IF(AND(E19&lt;&gt;"",F19&lt;&gt;""),IF(E19&gt;F19,C19,IF(E19&lt;F19,D19,"Draw")),"")</f>
        <v/>
      </c>
    </row>
    <row r="20">
      <c r="A20" s="3" t="n">
        <v>19</v>
      </c>
      <c r="B20" s="3" t="inlineStr">
        <is>
          <t>D</t>
        </is>
      </c>
      <c r="C20" s="2" t="inlineStr">
        <is>
          <t>USA</t>
        </is>
      </c>
      <c r="D20" s="2" t="inlineStr">
        <is>
          <t>Paraguay</t>
        </is>
      </c>
      <c r="E20" s="10" t="n">
        <v>2</v>
      </c>
      <c r="F20" s="10" t="n">
        <v>1</v>
      </c>
      <c r="G20" s="3">
        <f>IF(AND(E20&lt;&gt;"",F20&lt;&gt;""),IF(E20&gt;F20,C20,IF(E20&lt;F20,D20,"Draw")),"")</f>
        <v/>
      </c>
    </row>
    <row r="21">
      <c r="A21" s="3" t="n">
        <v>20</v>
      </c>
      <c r="B21" s="3" t="inlineStr">
        <is>
          <t>D</t>
        </is>
      </c>
      <c r="C21" s="2" t="inlineStr">
        <is>
          <t>Australia</t>
        </is>
      </c>
      <c r="D21" s="2" t="inlineStr">
        <is>
          <t>Turkiye</t>
        </is>
      </c>
      <c r="E21" s="10" t="n">
        <v>1</v>
      </c>
      <c r="F21" s="10" t="n">
        <v>1</v>
      </c>
      <c r="G21" s="3">
        <f>IF(AND(E21&lt;&gt;"",F21&lt;&gt;""),IF(E21&gt;F21,C21,IF(E21&lt;F21,D21,"Draw")),"")</f>
        <v/>
      </c>
    </row>
    <row r="22">
      <c r="A22" s="3" t="n">
        <v>21</v>
      </c>
      <c r="B22" s="3" t="inlineStr">
        <is>
          <t>D</t>
        </is>
      </c>
      <c r="C22" s="2" t="inlineStr">
        <is>
          <t>USA</t>
        </is>
      </c>
      <c r="D22" s="2" t="inlineStr">
        <is>
          <t>Australia</t>
        </is>
      </c>
      <c r="E22" s="10" t="n">
        <v>1</v>
      </c>
      <c r="F22" s="10" t="n">
        <v>0</v>
      </c>
      <c r="G22" s="3">
        <f>IF(AND(E22&lt;&gt;"",F22&lt;&gt;""),IF(E22&gt;F22,C22,IF(E22&lt;F22,D22,"Draw")),"")</f>
        <v/>
      </c>
    </row>
    <row r="23">
      <c r="A23" s="3" t="n">
        <v>22</v>
      </c>
      <c r="B23" s="3" t="inlineStr">
        <is>
          <t>D</t>
        </is>
      </c>
      <c r="C23" s="2" t="inlineStr">
        <is>
          <t>Paraguay</t>
        </is>
      </c>
      <c r="D23" s="2" t="inlineStr">
        <is>
          <t>Turkiye</t>
        </is>
      </c>
      <c r="E23" s="10" t="n">
        <v>1</v>
      </c>
      <c r="F23" s="10" t="n">
        <v>1</v>
      </c>
      <c r="G23" s="3">
        <f>IF(AND(E23&lt;&gt;"",F23&lt;&gt;""),IF(E23&gt;F23,C23,IF(E23&lt;F23,D23,"Draw")),"")</f>
        <v/>
      </c>
    </row>
    <row r="24">
      <c r="A24" s="3" t="n">
        <v>23</v>
      </c>
      <c r="B24" s="3" t="inlineStr">
        <is>
          <t>D</t>
        </is>
      </c>
      <c r="C24" s="2" t="inlineStr">
        <is>
          <t>USA</t>
        </is>
      </c>
      <c r="D24" s="2" t="inlineStr">
        <is>
          <t>Turkiye</t>
        </is>
      </c>
      <c r="E24" s="10" t="n">
        <v>1</v>
      </c>
      <c r="F24" s="10" t="n">
        <v>0</v>
      </c>
      <c r="G24" s="3">
        <f>IF(AND(E24&lt;&gt;"",F24&lt;&gt;""),IF(E24&gt;F24,C24,IF(E24&lt;F24,D24,"Draw")),"")</f>
        <v/>
      </c>
    </row>
    <row r="25">
      <c r="A25" s="3" t="n">
        <v>24</v>
      </c>
      <c r="B25" s="3" t="inlineStr">
        <is>
          <t>D</t>
        </is>
      </c>
      <c r="C25" s="2" t="inlineStr">
        <is>
          <t>Paraguay</t>
        </is>
      </c>
      <c r="D25" s="2" t="inlineStr">
        <is>
          <t>Australia</t>
        </is>
      </c>
      <c r="E25" s="10" t="n">
        <v>2</v>
      </c>
      <c r="F25" s="10" t="n">
        <v>1</v>
      </c>
      <c r="G25" s="3">
        <f>IF(AND(E25&lt;&gt;"",F25&lt;&gt;""),IF(E25&gt;F25,C25,IF(E25&lt;F25,D25,"Draw")),"")</f>
        <v/>
      </c>
    </row>
    <row r="26">
      <c r="A26" s="3" t="n">
        <v>25</v>
      </c>
      <c r="B26" s="3" t="inlineStr">
        <is>
          <t>E</t>
        </is>
      </c>
      <c r="C26" s="2" t="inlineStr">
        <is>
          <t>Germany</t>
        </is>
      </c>
      <c r="D26" s="2" t="inlineStr">
        <is>
          <t>Ecuador</t>
        </is>
      </c>
      <c r="E26" s="10" t="n">
        <v>2</v>
      </c>
      <c r="F26" s="10" t="n">
        <v>1</v>
      </c>
      <c r="G26" s="3">
        <f>IF(AND(E26&lt;&gt;"",F26&lt;&gt;""),IF(E26&gt;F26,C26,IF(E26&lt;F26,D26,"Draw")),"")</f>
        <v/>
      </c>
    </row>
    <row r="27">
      <c r="A27" s="3" t="n">
        <v>26</v>
      </c>
      <c r="B27" s="3" t="inlineStr">
        <is>
          <t>E</t>
        </is>
      </c>
      <c r="C27" s="2" t="inlineStr">
        <is>
          <t>Ivory Coast</t>
        </is>
      </c>
      <c r="D27" s="2" t="inlineStr">
        <is>
          <t>Curacao</t>
        </is>
      </c>
      <c r="E27" s="10" t="n">
        <v>1</v>
      </c>
      <c r="F27" s="10" t="n">
        <v>0</v>
      </c>
      <c r="G27" s="3">
        <f>IF(AND(E27&lt;&gt;"",F27&lt;&gt;""),IF(E27&gt;F27,C27,IF(E27&lt;F27,D27,"Draw")),"")</f>
        <v/>
      </c>
    </row>
    <row r="28">
      <c r="A28" s="3" t="n">
        <v>27</v>
      </c>
      <c r="B28" s="3" t="inlineStr">
        <is>
          <t>E</t>
        </is>
      </c>
      <c r="C28" s="2" t="inlineStr">
        <is>
          <t>Germany</t>
        </is>
      </c>
      <c r="D28" s="2" t="inlineStr">
        <is>
          <t>Ivory Coast</t>
        </is>
      </c>
      <c r="E28" s="10" t="n">
        <v>1</v>
      </c>
      <c r="F28" s="10" t="n">
        <v>0</v>
      </c>
      <c r="G28" s="3">
        <f>IF(AND(E28&lt;&gt;"",F28&lt;&gt;""),IF(E28&gt;F28,C28,IF(E28&lt;F28,D28,"Draw")),"")</f>
        <v/>
      </c>
    </row>
    <row r="29">
      <c r="A29" s="3" t="n">
        <v>28</v>
      </c>
      <c r="B29" s="3" t="inlineStr">
        <is>
          <t>E</t>
        </is>
      </c>
      <c r="C29" s="2" t="inlineStr">
        <is>
          <t>Ecuador</t>
        </is>
      </c>
      <c r="D29" s="2" t="inlineStr">
        <is>
          <t>Curacao</t>
        </is>
      </c>
      <c r="E29" s="10" t="n">
        <v>2</v>
      </c>
      <c r="F29" s="10" t="n">
        <v>1</v>
      </c>
      <c r="G29" s="3">
        <f>IF(AND(E29&lt;&gt;"",F29&lt;&gt;""),IF(E29&gt;F29,C29,IF(E29&lt;F29,D29,"Draw")),"")</f>
        <v/>
      </c>
    </row>
    <row r="30">
      <c r="A30" s="3" t="n">
        <v>29</v>
      </c>
      <c r="B30" s="3" t="inlineStr">
        <is>
          <t>E</t>
        </is>
      </c>
      <c r="C30" s="2" t="inlineStr">
        <is>
          <t>Germany</t>
        </is>
      </c>
      <c r="D30" s="2" t="inlineStr">
        <is>
          <t>Curacao</t>
        </is>
      </c>
      <c r="E30" s="10" t="n">
        <v>2</v>
      </c>
      <c r="F30" s="10" t="n">
        <v>0</v>
      </c>
      <c r="G30" s="3">
        <f>IF(AND(E30&lt;&gt;"",F30&lt;&gt;""),IF(E30&gt;F30,C30,IF(E30&lt;F30,D30,"Draw")),"")</f>
        <v/>
      </c>
    </row>
    <row r="31">
      <c r="A31" s="3" t="n">
        <v>30</v>
      </c>
      <c r="B31" s="3" t="inlineStr">
        <is>
          <t>E</t>
        </is>
      </c>
      <c r="C31" s="2" t="inlineStr">
        <is>
          <t>Ecuador</t>
        </is>
      </c>
      <c r="D31" s="2" t="inlineStr">
        <is>
          <t>Ivory Coast</t>
        </is>
      </c>
      <c r="E31" s="10" t="n">
        <v>1</v>
      </c>
      <c r="F31" s="10" t="n">
        <v>0</v>
      </c>
      <c r="G31" s="3">
        <f>IF(AND(E31&lt;&gt;"",F31&lt;&gt;""),IF(E31&gt;F31,C31,IF(E31&lt;F31,D31,"Draw")),"")</f>
        <v/>
      </c>
    </row>
    <row r="32">
      <c r="A32" s="3" t="n">
        <v>31</v>
      </c>
      <c r="B32" s="3" t="inlineStr">
        <is>
          <t>F</t>
        </is>
      </c>
      <c r="C32" s="2" t="inlineStr">
        <is>
          <t>Netherlands</t>
        </is>
      </c>
      <c r="D32" s="2" t="inlineStr">
        <is>
          <t>Japan</t>
        </is>
      </c>
      <c r="E32" s="10" t="n">
        <v>2</v>
      </c>
      <c r="F32" s="10" t="n">
        <v>1</v>
      </c>
      <c r="G32" s="3">
        <f>IF(AND(E32&lt;&gt;"",F32&lt;&gt;""),IF(E32&gt;F32,C32,IF(E32&lt;F32,D32,"Draw")),"")</f>
        <v/>
      </c>
    </row>
    <row r="33">
      <c r="A33" s="3" t="n">
        <v>32</v>
      </c>
      <c r="B33" s="3" t="inlineStr">
        <is>
          <t>F</t>
        </is>
      </c>
      <c r="C33" s="2" t="inlineStr">
        <is>
          <t>Tunisia</t>
        </is>
      </c>
      <c r="D33" s="2" t="inlineStr">
        <is>
          <t>Sweden</t>
        </is>
      </c>
      <c r="E33" s="10" t="n">
        <v>1</v>
      </c>
      <c r="F33" s="10" t="n">
        <v>0</v>
      </c>
      <c r="G33" s="3">
        <f>IF(AND(E33&lt;&gt;"",F33&lt;&gt;""),IF(E33&gt;F33,C33,IF(E33&lt;F33,D33,"Draw")),"")</f>
        <v/>
      </c>
    </row>
    <row r="34">
      <c r="A34" s="3" t="n">
        <v>33</v>
      </c>
      <c r="B34" s="3" t="inlineStr">
        <is>
          <t>F</t>
        </is>
      </c>
      <c r="C34" s="2" t="inlineStr">
        <is>
          <t>Netherlands</t>
        </is>
      </c>
      <c r="D34" s="2" t="inlineStr">
        <is>
          <t>Tunisia</t>
        </is>
      </c>
      <c r="E34" s="10" t="n">
        <v>1</v>
      </c>
      <c r="F34" s="10" t="n">
        <v>0</v>
      </c>
      <c r="G34" s="3">
        <f>IF(AND(E34&lt;&gt;"",F34&lt;&gt;""),IF(E34&gt;F34,C34,IF(E34&lt;F34,D34,"Draw")),"")</f>
        <v/>
      </c>
    </row>
    <row r="35">
      <c r="A35" s="3" t="n">
        <v>34</v>
      </c>
      <c r="B35" s="3" t="inlineStr">
        <is>
          <t>F</t>
        </is>
      </c>
      <c r="C35" s="2" t="inlineStr">
        <is>
          <t>Japan</t>
        </is>
      </c>
      <c r="D35" s="2" t="inlineStr">
        <is>
          <t>Sweden</t>
        </is>
      </c>
      <c r="E35" s="10" t="n">
        <v>2</v>
      </c>
      <c r="F35" s="10" t="n">
        <v>1</v>
      </c>
      <c r="G35" s="3">
        <f>IF(AND(E35&lt;&gt;"",F35&lt;&gt;""),IF(E35&gt;F35,C35,IF(E35&lt;F35,D35,"Draw")),"")</f>
        <v/>
      </c>
    </row>
    <row r="36">
      <c r="A36" s="3" t="n">
        <v>35</v>
      </c>
      <c r="B36" s="3" t="inlineStr">
        <is>
          <t>F</t>
        </is>
      </c>
      <c r="C36" s="2" t="inlineStr">
        <is>
          <t>Netherlands</t>
        </is>
      </c>
      <c r="D36" s="2" t="inlineStr">
        <is>
          <t>Sweden</t>
        </is>
      </c>
      <c r="E36" s="10" t="n">
        <v>1</v>
      </c>
      <c r="F36" s="10" t="n">
        <v>0</v>
      </c>
      <c r="G36" s="3">
        <f>IF(AND(E36&lt;&gt;"",F36&lt;&gt;""),IF(E36&gt;F36,C36,IF(E36&lt;F36,D36,"Draw")),"")</f>
        <v/>
      </c>
    </row>
    <row r="37">
      <c r="A37" s="3" t="n">
        <v>36</v>
      </c>
      <c r="B37" s="3" t="inlineStr">
        <is>
          <t>F</t>
        </is>
      </c>
      <c r="C37" s="2" t="inlineStr">
        <is>
          <t>Japan</t>
        </is>
      </c>
      <c r="D37" s="2" t="inlineStr">
        <is>
          <t>Tunisia</t>
        </is>
      </c>
      <c r="E37" s="10" t="n">
        <v>1</v>
      </c>
      <c r="F37" s="10" t="n">
        <v>0</v>
      </c>
      <c r="G37" s="3">
        <f>IF(AND(E37&lt;&gt;"",F37&lt;&gt;""),IF(E37&gt;F37,C37,IF(E37&lt;F37,D37,"Draw")),"")</f>
        <v/>
      </c>
    </row>
    <row r="38">
      <c r="A38" s="3" t="n">
        <v>37</v>
      </c>
      <c r="B38" s="3" t="inlineStr">
        <is>
          <t>G</t>
        </is>
      </c>
      <c r="C38" s="2" t="inlineStr">
        <is>
          <t>Belgium</t>
        </is>
      </c>
      <c r="D38" s="2" t="inlineStr">
        <is>
          <t>Iran</t>
        </is>
      </c>
      <c r="E38" s="10" t="n">
        <v>2</v>
      </c>
      <c r="F38" s="10" t="n">
        <v>0</v>
      </c>
      <c r="G38" s="3">
        <f>IF(AND(E38&lt;&gt;"",F38&lt;&gt;""),IF(E38&gt;F38,C38,IF(E38&lt;F38,D38,"Draw")),"")</f>
        <v/>
      </c>
    </row>
    <row r="39">
      <c r="A39" s="3" t="n">
        <v>38</v>
      </c>
      <c r="B39" s="3" t="inlineStr">
        <is>
          <t>G</t>
        </is>
      </c>
      <c r="C39" s="2" t="inlineStr">
        <is>
          <t>Egypt</t>
        </is>
      </c>
      <c r="D39" s="2" t="inlineStr">
        <is>
          <t>New Zealand</t>
        </is>
      </c>
      <c r="E39" s="10" t="n">
        <v>1</v>
      </c>
      <c r="F39" s="10" t="n">
        <v>0</v>
      </c>
      <c r="G39" s="3">
        <f>IF(AND(E39&lt;&gt;"",F39&lt;&gt;""),IF(E39&gt;F39,C39,IF(E39&lt;F39,D39,"Draw")),"")</f>
        <v/>
      </c>
    </row>
    <row r="40">
      <c r="A40" s="3" t="n">
        <v>39</v>
      </c>
      <c r="B40" s="3" t="inlineStr">
        <is>
          <t>G</t>
        </is>
      </c>
      <c r="C40" s="2" t="inlineStr">
        <is>
          <t>Belgium</t>
        </is>
      </c>
      <c r="D40" s="2" t="inlineStr">
        <is>
          <t>Egypt</t>
        </is>
      </c>
      <c r="E40" s="10" t="n">
        <v>1</v>
      </c>
      <c r="F40" s="10" t="n">
        <v>0</v>
      </c>
      <c r="G40" s="3">
        <f>IF(AND(E40&lt;&gt;"",F40&lt;&gt;""),IF(E40&gt;F40,C40,IF(E40&lt;F40,D40,"Draw")),"")</f>
        <v/>
      </c>
    </row>
    <row r="41">
      <c r="A41" s="3" t="n">
        <v>40</v>
      </c>
      <c r="B41" s="3" t="inlineStr">
        <is>
          <t>G</t>
        </is>
      </c>
      <c r="C41" s="2" t="inlineStr">
        <is>
          <t>Iran</t>
        </is>
      </c>
      <c r="D41" s="2" t="inlineStr">
        <is>
          <t>New Zealand</t>
        </is>
      </c>
      <c r="E41" s="10" t="n">
        <v>1</v>
      </c>
      <c r="F41" s="10" t="n">
        <v>0</v>
      </c>
      <c r="G41" s="3">
        <f>IF(AND(E41&lt;&gt;"",F41&lt;&gt;""),IF(E41&gt;F41,C41,IF(E41&lt;F41,D41,"Draw")),"")</f>
        <v/>
      </c>
    </row>
    <row r="42">
      <c r="A42" s="3" t="n">
        <v>41</v>
      </c>
      <c r="B42" s="3" t="inlineStr">
        <is>
          <t>G</t>
        </is>
      </c>
      <c r="C42" s="2" t="inlineStr">
        <is>
          <t>Belgium</t>
        </is>
      </c>
      <c r="D42" s="2" t="inlineStr">
        <is>
          <t>New Zealand</t>
        </is>
      </c>
      <c r="E42" s="10" t="n">
        <v>2</v>
      </c>
      <c r="F42" s="10" t="n">
        <v>0</v>
      </c>
      <c r="G42" s="3">
        <f>IF(AND(E42&lt;&gt;"",F42&lt;&gt;""),IF(E42&gt;F42,C42,IF(E42&lt;F42,D42,"Draw")),"")</f>
        <v/>
      </c>
    </row>
    <row r="43">
      <c r="A43" s="3" t="n">
        <v>42</v>
      </c>
      <c r="B43" s="3" t="inlineStr">
        <is>
          <t>G</t>
        </is>
      </c>
      <c r="C43" s="2" t="inlineStr">
        <is>
          <t>Iran</t>
        </is>
      </c>
      <c r="D43" s="2" t="inlineStr">
        <is>
          <t>Egypt</t>
        </is>
      </c>
      <c r="E43" s="10" t="n">
        <v>1</v>
      </c>
      <c r="F43" s="10" t="n">
        <v>1</v>
      </c>
      <c r="G43" s="3">
        <f>IF(AND(E43&lt;&gt;"",F43&lt;&gt;""),IF(E43&gt;F43,C43,IF(E43&lt;F43,D43,"Draw")),"")</f>
        <v/>
      </c>
    </row>
    <row r="44">
      <c r="A44" s="3" t="n">
        <v>43</v>
      </c>
      <c r="B44" s="3" t="inlineStr">
        <is>
          <t>H</t>
        </is>
      </c>
      <c r="C44" s="2" t="inlineStr">
        <is>
          <t>Spain</t>
        </is>
      </c>
      <c r="D44" s="2" t="inlineStr">
        <is>
          <t>Uruguay</t>
        </is>
      </c>
      <c r="E44" s="10" t="n">
        <v>1</v>
      </c>
      <c r="F44" s="10" t="n">
        <v>0</v>
      </c>
      <c r="G44" s="3">
        <f>IF(AND(E44&lt;&gt;"",F44&lt;&gt;""),IF(E44&gt;F44,C44,IF(E44&lt;F44,D44,"Draw")),"")</f>
        <v/>
      </c>
    </row>
    <row r="45">
      <c r="A45" s="3" t="n">
        <v>44</v>
      </c>
      <c r="B45" s="3" t="inlineStr">
        <is>
          <t>H</t>
        </is>
      </c>
      <c r="C45" s="2" t="inlineStr">
        <is>
          <t>Saudi Arabia</t>
        </is>
      </c>
      <c r="D45" s="2" t="inlineStr">
        <is>
          <t>Cape Verde</t>
        </is>
      </c>
      <c r="E45" s="10" t="n">
        <v>1</v>
      </c>
      <c r="F45" s="10" t="n">
        <v>0</v>
      </c>
      <c r="G45" s="3">
        <f>IF(AND(E45&lt;&gt;"",F45&lt;&gt;""),IF(E45&gt;F45,C45,IF(E45&lt;F45,D45,"Draw")),"")</f>
        <v/>
      </c>
    </row>
    <row r="46">
      <c r="A46" s="3" t="n">
        <v>45</v>
      </c>
      <c r="B46" s="3" t="inlineStr">
        <is>
          <t>H</t>
        </is>
      </c>
      <c r="C46" s="2" t="inlineStr">
        <is>
          <t>Spain</t>
        </is>
      </c>
      <c r="D46" s="2" t="inlineStr">
        <is>
          <t>Saudi Arabia</t>
        </is>
      </c>
      <c r="E46" s="10" t="n">
        <v>2</v>
      </c>
      <c r="F46" s="10" t="n">
        <v>0</v>
      </c>
      <c r="G46" s="3">
        <f>IF(AND(E46&lt;&gt;"",F46&lt;&gt;""),IF(E46&gt;F46,C46,IF(E46&lt;F46,D46,"Draw")),"")</f>
        <v/>
      </c>
    </row>
    <row r="47">
      <c r="A47" s="3" t="n">
        <v>46</v>
      </c>
      <c r="B47" s="3" t="inlineStr">
        <is>
          <t>H</t>
        </is>
      </c>
      <c r="C47" s="2" t="inlineStr">
        <is>
          <t>Uruguay</t>
        </is>
      </c>
      <c r="D47" s="2" t="inlineStr">
        <is>
          <t>Cape Verde</t>
        </is>
      </c>
      <c r="E47" s="10" t="n">
        <v>2</v>
      </c>
      <c r="F47" s="10" t="n">
        <v>1</v>
      </c>
      <c r="G47" s="3">
        <f>IF(AND(E47&lt;&gt;"",F47&lt;&gt;""),IF(E47&gt;F47,C47,IF(E47&lt;F47,D47,"Draw")),"")</f>
        <v/>
      </c>
    </row>
    <row r="48">
      <c r="A48" s="3" t="n">
        <v>47</v>
      </c>
      <c r="B48" s="3" t="inlineStr">
        <is>
          <t>H</t>
        </is>
      </c>
      <c r="C48" s="2" t="inlineStr">
        <is>
          <t>Spain</t>
        </is>
      </c>
      <c r="D48" s="2" t="inlineStr">
        <is>
          <t>Cape Verde</t>
        </is>
      </c>
      <c r="E48" s="10" t="n">
        <v>1</v>
      </c>
      <c r="F48" s="10" t="n">
        <v>0</v>
      </c>
      <c r="G48" s="3">
        <f>IF(AND(E48&lt;&gt;"",F48&lt;&gt;""),IF(E48&gt;F48,C48,IF(E48&lt;F48,D48,"Draw")),"")</f>
        <v/>
      </c>
    </row>
    <row r="49">
      <c r="A49" s="3" t="n">
        <v>48</v>
      </c>
      <c r="B49" s="3" t="inlineStr">
        <is>
          <t>H</t>
        </is>
      </c>
      <c r="C49" s="2" t="inlineStr">
        <is>
          <t>Uruguay</t>
        </is>
      </c>
      <c r="D49" s="2" t="inlineStr">
        <is>
          <t>Saudi Arabia</t>
        </is>
      </c>
      <c r="E49" s="10" t="n">
        <v>1</v>
      </c>
      <c r="F49" s="10" t="n">
        <v>0</v>
      </c>
      <c r="G49" s="3">
        <f>IF(AND(E49&lt;&gt;"",F49&lt;&gt;""),IF(E49&gt;F49,C49,IF(E49&lt;F49,D49,"Draw")),"")</f>
        <v/>
      </c>
    </row>
    <row r="50">
      <c r="A50" s="3" t="n">
        <v>49</v>
      </c>
      <c r="B50" s="3" t="inlineStr">
        <is>
          <t>I</t>
        </is>
      </c>
      <c r="C50" s="2" t="inlineStr">
        <is>
          <t>France</t>
        </is>
      </c>
      <c r="D50" s="2" t="inlineStr">
        <is>
          <t>Senegal</t>
        </is>
      </c>
      <c r="E50" s="10" t="n">
        <v>2</v>
      </c>
      <c r="F50" s="10" t="n">
        <v>1</v>
      </c>
      <c r="G50" s="3">
        <f>IF(AND(E50&lt;&gt;"",F50&lt;&gt;""),IF(E50&gt;F50,C50,IF(E50&lt;F50,D50,"Draw")),"")</f>
        <v/>
      </c>
    </row>
    <row r="51">
      <c r="A51" s="3" t="n">
        <v>50</v>
      </c>
      <c r="B51" s="3" t="inlineStr">
        <is>
          <t>I</t>
        </is>
      </c>
      <c r="C51" s="2" t="inlineStr">
        <is>
          <t>Norway</t>
        </is>
      </c>
      <c r="D51" s="2" t="inlineStr">
        <is>
          <t>Iraq</t>
        </is>
      </c>
      <c r="E51" s="10" t="n">
        <v>2</v>
      </c>
      <c r="F51" s="10" t="n">
        <v>1</v>
      </c>
      <c r="G51" s="3">
        <f>IF(AND(E51&lt;&gt;"",F51&lt;&gt;""),IF(E51&gt;F51,C51,IF(E51&lt;F51,D51,"Draw")),"")</f>
        <v/>
      </c>
    </row>
    <row r="52">
      <c r="A52" s="3" t="n">
        <v>51</v>
      </c>
      <c r="B52" s="3" t="inlineStr">
        <is>
          <t>I</t>
        </is>
      </c>
      <c r="C52" s="2" t="inlineStr">
        <is>
          <t>France</t>
        </is>
      </c>
      <c r="D52" s="2" t="inlineStr">
        <is>
          <t>Norway</t>
        </is>
      </c>
      <c r="E52" s="10" t="n">
        <v>1</v>
      </c>
      <c r="F52" s="10" t="n">
        <v>0</v>
      </c>
      <c r="G52" s="3">
        <f>IF(AND(E52&lt;&gt;"",F52&lt;&gt;""),IF(E52&gt;F52,C52,IF(E52&lt;F52,D52,"Draw")),"")</f>
        <v/>
      </c>
    </row>
    <row r="53">
      <c r="A53" s="3" t="n">
        <v>52</v>
      </c>
      <c r="B53" s="3" t="inlineStr">
        <is>
          <t>I</t>
        </is>
      </c>
      <c r="C53" s="2" t="inlineStr">
        <is>
          <t>Senegal</t>
        </is>
      </c>
      <c r="D53" s="2" t="inlineStr">
        <is>
          <t>Iraq</t>
        </is>
      </c>
      <c r="E53" s="10" t="n">
        <v>1</v>
      </c>
      <c r="F53" s="10" t="n">
        <v>0</v>
      </c>
      <c r="G53" s="3">
        <f>IF(AND(E53&lt;&gt;"",F53&lt;&gt;""),IF(E53&gt;F53,C53,IF(E53&lt;F53,D53,"Draw")),"")</f>
        <v/>
      </c>
    </row>
    <row r="54">
      <c r="A54" s="3" t="n">
        <v>53</v>
      </c>
      <c r="B54" s="3" t="inlineStr">
        <is>
          <t>I</t>
        </is>
      </c>
      <c r="C54" s="2" t="inlineStr">
        <is>
          <t>France</t>
        </is>
      </c>
      <c r="D54" s="2" t="inlineStr">
        <is>
          <t>Iraq</t>
        </is>
      </c>
      <c r="E54" s="10" t="n">
        <v>2</v>
      </c>
      <c r="F54" s="10" t="n">
        <v>0</v>
      </c>
      <c r="G54" s="3">
        <f>IF(AND(E54&lt;&gt;"",F54&lt;&gt;""),IF(E54&gt;F54,C54,IF(E54&lt;F54,D54,"Draw")),"")</f>
        <v/>
      </c>
    </row>
    <row r="55">
      <c r="A55" s="3" t="n">
        <v>54</v>
      </c>
      <c r="B55" s="3" t="inlineStr">
        <is>
          <t>I</t>
        </is>
      </c>
      <c r="C55" s="2" t="inlineStr">
        <is>
          <t>Senegal</t>
        </is>
      </c>
      <c r="D55" s="2" t="inlineStr">
        <is>
          <t>Norway</t>
        </is>
      </c>
      <c r="E55" s="10" t="n">
        <v>1</v>
      </c>
      <c r="F55" s="10" t="n">
        <v>1</v>
      </c>
      <c r="G55" s="3">
        <f>IF(AND(E55&lt;&gt;"",F55&lt;&gt;""),IF(E55&gt;F55,C55,IF(E55&lt;F55,D55,"Draw")),"")</f>
        <v/>
      </c>
    </row>
    <row r="56">
      <c r="A56" s="3" t="n">
        <v>55</v>
      </c>
      <c r="B56" s="3" t="inlineStr">
        <is>
          <t>J</t>
        </is>
      </c>
      <c r="C56" s="2" t="inlineStr">
        <is>
          <t>Argentina</t>
        </is>
      </c>
      <c r="D56" s="2" t="inlineStr">
        <is>
          <t>Austria</t>
        </is>
      </c>
      <c r="E56" s="10" t="n">
        <v>2</v>
      </c>
      <c r="F56" s="10" t="n">
        <v>0</v>
      </c>
      <c r="G56" s="3">
        <f>IF(AND(E56&lt;&gt;"",F56&lt;&gt;""),IF(E56&gt;F56,C56,IF(E56&lt;F56,D56,"Draw")),"")</f>
        <v/>
      </c>
    </row>
    <row r="57">
      <c r="A57" s="3" t="n">
        <v>56</v>
      </c>
      <c r="B57" s="3" t="inlineStr">
        <is>
          <t>J</t>
        </is>
      </c>
      <c r="C57" s="2" t="inlineStr">
        <is>
          <t>Algeria</t>
        </is>
      </c>
      <c r="D57" s="2" t="inlineStr">
        <is>
          <t>Jordan</t>
        </is>
      </c>
      <c r="E57" s="10" t="n">
        <v>1</v>
      </c>
      <c r="F57" s="10" t="n">
        <v>0</v>
      </c>
      <c r="G57" s="3">
        <f>IF(AND(E57&lt;&gt;"",F57&lt;&gt;""),IF(E57&gt;F57,C57,IF(E57&lt;F57,D57,"Draw")),"")</f>
        <v/>
      </c>
    </row>
    <row r="58">
      <c r="A58" s="3" t="n">
        <v>57</v>
      </c>
      <c r="B58" s="3" t="inlineStr">
        <is>
          <t>J</t>
        </is>
      </c>
      <c r="C58" s="2" t="inlineStr">
        <is>
          <t>Argentina</t>
        </is>
      </c>
      <c r="D58" s="2" t="inlineStr">
        <is>
          <t>Algeria</t>
        </is>
      </c>
      <c r="E58" s="10" t="n">
        <v>2</v>
      </c>
      <c r="F58" s="10" t="n">
        <v>1</v>
      </c>
      <c r="G58" s="3">
        <f>IF(AND(E58&lt;&gt;"",F58&lt;&gt;""),IF(E58&gt;F58,C58,IF(E58&lt;F58,D58,"Draw")),"")</f>
        <v/>
      </c>
    </row>
    <row r="59">
      <c r="A59" s="3" t="n">
        <v>58</v>
      </c>
      <c r="B59" s="3" t="inlineStr">
        <is>
          <t>J</t>
        </is>
      </c>
      <c r="C59" s="2" t="inlineStr">
        <is>
          <t>Austria</t>
        </is>
      </c>
      <c r="D59" s="2" t="inlineStr">
        <is>
          <t>Jordan</t>
        </is>
      </c>
      <c r="E59" s="10" t="n">
        <v>1</v>
      </c>
      <c r="F59" s="10" t="n">
        <v>0</v>
      </c>
      <c r="G59" s="3">
        <f>IF(AND(E59&lt;&gt;"",F59&lt;&gt;""),IF(E59&gt;F59,C59,IF(E59&lt;F59,D59,"Draw")),"")</f>
        <v/>
      </c>
    </row>
    <row r="60">
      <c r="A60" s="3" t="n">
        <v>59</v>
      </c>
      <c r="B60" s="3" t="inlineStr">
        <is>
          <t>J</t>
        </is>
      </c>
      <c r="C60" s="2" t="inlineStr">
        <is>
          <t>Argentina</t>
        </is>
      </c>
      <c r="D60" s="2" t="inlineStr">
        <is>
          <t>Jordan</t>
        </is>
      </c>
      <c r="E60" s="10" t="n">
        <v>1</v>
      </c>
      <c r="F60" s="10" t="n">
        <v>0</v>
      </c>
      <c r="G60" s="3">
        <f>IF(AND(E60&lt;&gt;"",F60&lt;&gt;""),IF(E60&gt;F60,C60,IF(E60&lt;F60,D60,"Draw")),"")</f>
        <v/>
      </c>
    </row>
    <row r="61">
      <c r="A61" s="3" t="n">
        <v>60</v>
      </c>
      <c r="B61" s="3" t="inlineStr">
        <is>
          <t>J</t>
        </is>
      </c>
      <c r="C61" s="2" t="inlineStr">
        <is>
          <t>Austria</t>
        </is>
      </c>
      <c r="D61" s="2" t="inlineStr">
        <is>
          <t>Algeria</t>
        </is>
      </c>
      <c r="E61" s="10" t="n">
        <v>1</v>
      </c>
      <c r="F61" s="10" t="n">
        <v>1</v>
      </c>
      <c r="G61" s="3">
        <f>IF(AND(E61&lt;&gt;"",F61&lt;&gt;""),IF(E61&gt;F61,C61,IF(E61&lt;F61,D61,"Draw")),"")</f>
        <v/>
      </c>
    </row>
    <row r="62">
      <c r="A62" s="3" t="n">
        <v>61</v>
      </c>
      <c r="B62" s="3" t="inlineStr">
        <is>
          <t>K</t>
        </is>
      </c>
      <c r="C62" s="2" t="inlineStr">
        <is>
          <t>Portugal</t>
        </is>
      </c>
      <c r="D62" s="2" t="inlineStr">
        <is>
          <t>Colombia</t>
        </is>
      </c>
      <c r="E62" s="10" t="n">
        <v>2</v>
      </c>
      <c r="F62" s="10" t="n">
        <v>1</v>
      </c>
      <c r="G62" s="3">
        <f>IF(AND(E62&lt;&gt;"",F62&lt;&gt;""),IF(E62&gt;F62,C62,IF(E62&lt;F62,D62,"Draw")),"")</f>
        <v/>
      </c>
    </row>
    <row r="63">
      <c r="A63" s="3" t="n">
        <v>62</v>
      </c>
      <c r="B63" s="3" t="inlineStr">
        <is>
          <t>K</t>
        </is>
      </c>
      <c r="C63" s="2" t="inlineStr">
        <is>
          <t>Uzbekistan</t>
        </is>
      </c>
      <c r="D63" s="2" t="inlineStr">
        <is>
          <t>DR Congo</t>
        </is>
      </c>
      <c r="E63" s="10" t="n">
        <v>1</v>
      </c>
      <c r="F63" s="10" t="n">
        <v>0</v>
      </c>
      <c r="G63" s="3">
        <f>IF(AND(E63&lt;&gt;"",F63&lt;&gt;""),IF(E63&gt;F63,C63,IF(E63&lt;F63,D63,"Draw")),"")</f>
        <v/>
      </c>
    </row>
    <row r="64">
      <c r="A64" s="3" t="n">
        <v>63</v>
      </c>
      <c r="B64" s="3" t="inlineStr">
        <is>
          <t>K</t>
        </is>
      </c>
      <c r="C64" s="2" t="inlineStr">
        <is>
          <t>Portugal</t>
        </is>
      </c>
      <c r="D64" s="2" t="inlineStr">
        <is>
          <t>Uzbekistan</t>
        </is>
      </c>
      <c r="E64" s="10" t="n">
        <v>2</v>
      </c>
      <c r="F64" s="10" t="n">
        <v>0</v>
      </c>
      <c r="G64" s="3">
        <f>IF(AND(E64&lt;&gt;"",F64&lt;&gt;""),IF(E64&gt;F64,C64,IF(E64&lt;F64,D64,"Draw")),"")</f>
        <v/>
      </c>
    </row>
    <row r="65">
      <c r="A65" s="3" t="n">
        <v>64</v>
      </c>
      <c r="B65" s="3" t="inlineStr">
        <is>
          <t>K</t>
        </is>
      </c>
      <c r="C65" s="2" t="inlineStr">
        <is>
          <t>Colombia</t>
        </is>
      </c>
      <c r="D65" s="2" t="inlineStr">
        <is>
          <t>DR Congo</t>
        </is>
      </c>
      <c r="E65" s="10" t="n">
        <v>1</v>
      </c>
      <c r="F65" s="10" t="n">
        <v>0</v>
      </c>
      <c r="G65" s="3">
        <f>IF(AND(E65&lt;&gt;"",F65&lt;&gt;""),IF(E65&gt;F65,C65,IF(E65&lt;F65,D65,"Draw")),"")</f>
        <v/>
      </c>
    </row>
    <row r="66">
      <c r="A66" s="3" t="n">
        <v>65</v>
      </c>
      <c r="B66" s="3" t="inlineStr">
        <is>
          <t>K</t>
        </is>
      </c>
      <c r="C66" s="2" t="inlineStr">
        <is>
          <t>Portugal</t>
        </is>
      </c>
      <c r="D66" s="2" t="inlineStr">
        <is>
          <t>DR Congo</t>
        </is>
      </c>
      <c r="E66" s="10" t="n">
        <v>2</v>
      </c>
      <c r="F66" s="10" t="n">
        <v>0</v>
      </c>
      <c r="G66" s="3">
        <f>IF(AND(E66&lt;&gt;"",F66&lt;&gt;""),IF(E66&gt;F66,C66,IF(E66&lt;F66,D66,"Draw")),"")</f>
        <v/>
      </c>
    </row>
    <row r="67">
      <c r="A67" s="3" t="n">
        <v>66</v>
      </c>
      <c r="B67" s="3" t="inlineStr">
        <is>
          <t>K</t>
        </is>
      </c>
      <c r="C67" s="2" t="inlineStr">
        <is>
          <t>Colombia</t>
        </is>
      </c>
      <c r="D67" s="2" t="inlineStr">
        <is>
          <t>Uzbekistan</t>
        </is>
      </c>
      <c r="E67" s="10" t="n">
        <v>2</v>
      </c>
      <c r="F67" s="10" t="n">
        <v>1</v>
      </c>
      <c r="G67" s="3">
        <f>IF(AND(E67&lt;&gt;"",F67&lt;&gt;""),IF(E67&gt;F67,C67,IF(E67&lt;F67,D67,"Draw")),"")</f>
        <v/>
      </c>
    </row>
    <row r="68">
      <c r="A68" s="3" t="n">
        <v>67</v>
      </c>
      <c r="B68" s="3" t="inlineStr">
        <is>
          <t>L</t>
        </is>
      </c>
      <c r="C68" s="2" t="inlineStr">
        <is>
          <t>England</t>
        </is>
      </c>
      <c r="D68" s="2" t="inlineStr">
        <is>
          <t>Croatia</t>
        </is>
      </c>
      <c r="E68" s="10" t="n">
        <v>1</v>
      </c>
      <c r="F68" s="10" t="n">
        <v>0</v>
      </c>
      <c r="G68" s="3">
        <f>IF(AND(E68&lt;&gt;"",F68&lt;&gt;""),IF(E68&gt;F68,C68,IF(E68&lt;F68,D68,"Draw")),"")</f>
        <v/>
      </c>
    </row>
    <row r="69">
      <c r="A69" s="3" t="n">
        <v>68</v>
      </c>
      <c r="B69" s="3" t="inlineStr">
        <is>
          <t>L</t>
        </is>
      </c>
      <c r="C69" s="2" t="inlineStr">
        <is>
          <t>Panama</t>
        </is>
      </c>
      <c r="D69" s="2" t="inlineStr">
        <is>
          <t>Ghana</t>
        </is>
      </c>
      <c r="E69" s="10" t="n">
        <v>1</v>
      </c>
      <c r="F69" s="10" t="n">
        <v>0</v>
      </c>
      <c r="G69" s="3">
        <f>IF(AND(E69&lt;&gt;"",F69&lt;&gt;""),IF(E69&gt;F69,C69,IF(E69&lt;F69,D69,"Draw")),"")</f>
        <v/>
      </c>
    </row>
    <row r="70">
      <c r="A70" s="3" t="n">
        <v>69</v>
      </c>
      <c r="B70" s="3" t="inlineStr">
        <is>
          <t>L</t>
        </is>
      </c>
      <c r="C70" s="2" t="inlineStr">
        <is>
          <t>England</t>
        </is>
      </c>
      <c r="D70" s="2" t="inlineStr">
        <is>
          <t>Panama</t>
        </is>
      </c>
      <c r="E70" s="10" t="n">
        <v>2</v>
      </c>
      <c r="F70" s="10" t="n">
        <v>0</v>
      </c>
      <c r="G70" s="3">
        <f>IF(AND(E70&lt;&gt;"",F70&lt;&gt;""),IF(E70&gt;F70,C70,IF(E70&lt;F70,D70,"Draw")),"")</f>
        <v/>
      </c>
    </row>
    <row r="71">
      <c r="A71" s="3" t="n">
        <v>70</v>
      </c>
      <c r="B71" s="3" t="inlineStr">
        <is>
          <t>L</t>
        </is>
      </c>
      <c r="C71" s="2" t="inlineStr">
        <is>
          <t>Croatia</t>
        </is>
      </c>
      <c r="D71" s="2" t="inlineStr">
        <is>
          <t>Ghana</t>
        </is>
      </c>
      <c r="E71" s="10" t="n">
        <v>1</v>
      </c>
      <c r="F71" s="10" t="n">
        <v>1</v>
      </c>
      <c r="G71" s="3">
        <f>IF(AND(E71&lt;&gt;"",F71&lt;&gt;""),IF(E71&gt;F71,C71,IF(E71&lt;F71,D71,"Draw")),"")</f>
        <v/>
      </c>
    </row>
    <row r="72">
      <c r="A72" s="3" t="n">
        <v>71</v>
      </c>
      <c r="B72" s="3" t="inlineStr">
        <is>
          <t>L</t>
        </is>
      </c>
      <c r="C72" s="2" t="inlineStr">
        <is>
          <t>England</t>
        </is>
      </c>
      <c r="D72" s="2" t="inlineStr">
        <is>
          <t>Ghana</t>
        </is>
      </c>
      <c r="E72" s="10" t="n">
        <v>1</v>
      </c>
      <c r="F72" s="10" t="n">
        <v>0</v>
      </c>
      <c r="G72" s="3">
        <f>IF(AND(E72&lt;&gt;"",F72&lt;&gt;""),IF(E72&gt;F72,C72,IF(E72&lt;F72,D72,"Draw")),"")</f>
        <v/>
      </c>
    </row>
    <row r="73">
      <c r="A73" s="3" t="n">
        <v>72</v>
      </c>
      <c r="B73" s="3" t="inlineStr">
        <is>
          <t>L</t>
        </is>
      </c>
      <c r="C73" s="2" t="inlineStr">
        <is>
          <t>Croatia</t>
        </is>
      </c>
      <c r="D73" s="2" t="inlineStr">
        <is>
          <t>Panama</t>
        </is>
      </c>
      <c r="E73" s="10" t="n">
        <v>1</v>
      </c>
      <c r="F73" s="10" t="n">
        <v>0</v>
      </c>
      <c r="G73" s="3">
        <f>IF(AND(E73&lt;&gt;"",F73&lt;&gt;""),IF(E73&gt;F73,C73,IF(E73&lt;F73,D73,"Draw")),"")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zoomScaleNormal="100" workbookViewId="0">
      <pane ySplit="1" topLeftCell="A2" activePane="bottomLeft" state="frozen"/>
      <selection pane="bottomLeft" activeCell="I5" sqref="I5"/>
    </sheetView>
  </sheetViews>
  <sheetFormatPr baseColWidth="8" defaultColWidth="8.6328125" defaultRowHeight="14.5"/>
  <cols>
    <col width="18" customWidth="1" min="1" max="1"/>
    <col width="8" customWidth="1" min="2" max="3"/>
    <col width="16" customWidth="1" min="4" max="4"/>
    <col width="12" customWidth="1" min="5" max="5"/>
    <col width="14" customWidth="1" min="6" max="6"/>
    <col width="12" customWidth="1" min="7" max="7"/>
    <col width="9" customWidth="1" min="8" max="9"/>
  </cols>
  <sheetData>
    <row r="1">
      <c r="A1" s="1" t="inlineStr">
        <is>
          <t>Team</t>
        </is>
      </c>
      <c r="B1" s="1" t="inlineStr">
        <is>
          <t>Code</t>
        </is>
      </c>
      <c r="C1" s="1" t="inlineStr">
        <is>
          <t>Group</t>
        </is>
      </c>
      <c r="D1" s="1" t="inlineStr">
        <is>
          <t>Group Finish (1-4)</t>
        </is>
      </c>
      <c r="E1" s="1" t="inlineStr">
        <is>
          <t>Round of 16</t>
        </is>
      </c>
      <c r="F1" s="1" t="inlineStr">
        <is>
          <t>Quarter-finals</t>
        </is>
      </c>
      <c r="G1" s="1" t="inlineStr">
        <is>
          <t>Semi-finals</t>
        </is>
      </c>
      <c r="H1" s="1" t="inlineStr">
        <is>
          <t>Final</t>
        </is>
      </c>
      <c r="I1" s="1" t="inlineStr">
        <is>
          <t>Winner</t>
        </is>
      </c>
    </row>
    <row r="2">
      <c r="A2" s="2" t="inlineStr">
        <is>
          <t>Mexico</t>
        </is>
      </c>
      <c r="B2" s="3">
        <f>C2&amp;D2</f>
        <v/>
      </c>
      <c r="C2" s="3" t="inlineStr">
        <is>
          <t>A</t>
        </is>
      </c>
      <c r="D2" s="10" t="n">
        <v>1</v>
      </c>
      <c r="E2" s="10" t="n">
        <v>1</v>
      </c>
      <c r="F2" s="10" t="n"/>
      <c r="G2" s="10" t="n"/>
      <c r="H2" s="10" t="n"/>
      <c r="I2" s="10" t="n"/>
    </row>
    <row r="3">
      <c r="A3" s="2" t="inlineStr">
        <is>
          <t>South Korea</t>
        </is>
      </c>
      <c r="B3" s="3">
        <f>C3&amp;D3</f>
        <v/>
      </c>
      <c r="C3" s="3" t="inlineStr">
        <is>
          <t>A</t>
        </is>
      </c>
      <c r="D3" s="10" t="n">
        <v>2</v>
      </c>
      <c r="E3" s="10" t="n">
        <v>1</v>
      </c>
      <c r="F3" s="10" t="n"/>
      <c r="G3" s="10" t="n"/>
      <c r="H3" s="10" t="n"/>
      <c r="I3" s="10" t="n"/>
    </row>
    <row r="4">
      <c r="A4" s="2" t="inlineStr">
        <is>
          <t>South Africa</t>
        </is>
      </c>
      <c r="B4" s="3">
        <f>C4&amp;D4</f>
        <v/>
      </c>
      <c r="C4" s="3" t="inlineStr">
        <is>
          <t>A</t>
        </is>
      </c>
      <c r="D4" s="10" t="n">
        <v>3</v>
      </c>
      <c r="E4" s="10" t="n"/>
      <c r="F4" s="10" t="n"/>
      <c r="G4" s="10" t="n"/>
      <c r="H4" s="10" t="n"/>
      <c r="I4" s="10" t="n"/>
    </row>
    <row r="5">
      <c r="A5" s="2" t="inlineStr">
        <is>
          <t>Czechia</t>
        </is>
      </c>
      <c r="B5" s="3">
        <f>C5&amp;D5</f>
        <v/>
      </c>
      <c r="C5" s="3" t="inlineStr">
        <is>
          <t>A</t>
        </is>
      </c>
      <c r="D5" s="10" t="n">
        <v>4</v>
      </c>
      <c r="E5" s="10" t="n"/>
      <c r="F5" s="10" t="n"/>
      <c r="G5" s="10" t="n"/>
      <c r="H5" s="10" t="n"/>
      <c r="I5" s="10" t="n"/>
    </row>
    <row r="6">
      <c r="A6" s="2" t="inlineStr">
        <is>
          <t>Canada</t>
        </is>
      </c>
      <c r="B6" s="3">
        <f>C6&amp;D6</f>
        <v/>
      </c>
      <c r="C6" s="3" t="inlineStr">
        <is>
          <t>B</t>
        </is>
      </c>
      <c r="D6" s="10" t="n">
        <v>2</v>
      </c>
      <c r="E6" s="10" t="n"/>
      <c r="F6" s="10" t="n"/>
      <c r="G6" s="10" t="n"/>
      <c r="H6" s="10" t="n"/>
      <c r="I6" s="10" t="n"/>
    </row>
    <row r="7">
      <c r="A7" s="2" t="inlineStr">
        <is>
          <t>Switzerland</t>
        </is>
      </c>
      <c r="B7" s="3">
        <f>C7&amp;D7</f>
        <v/>
      </c>
      <c r="C7" s="3" t="inlineStr">
        <is>
          <t>B</t>
        </is>
      </c>
      <c r="D7" s="10" t="n">
        <v>1</v>
      </c>
      <c r="E7" s="10" t="n">
        <v>1</v>
      </c>
      <c r="F7" s="10" t="n"/>
      <c r="G7" s="10" t="n"/>
      <c r="H7" s="10" t="n"/>
      <c r="I7" s="10" t="n"/>
    </row>
    <row r="8">
      <c r="A8" s="2" t="inlineStr">
        <is>
          <t>Qatar</t>
        </is>
      </c>
      <c r="B8" s="3">
        <f>C8&amp;D8</f>
        <v/>
      </c>
      <c r="C8" s="3" t="inlineStr">
        <is>
          <t>B</t>
        </is>
      </c>
      <c r="D8" s="10" t="n">
        <v>4</v>
      </c>
      <c r="E8" s="10" t="n"/>
      <c r="F8" s="10" t="n"/>
      <c r="G8" s="10" t="n"/>
      <c r="H8" s="10" t="n"/>
      <c r="I8" s="10" t="n"/>
    </row>
    <row r="9">
      <c r="A9" s="2" t="inlineStr">
        <is>
          <t>Bosnia-Herzegovina</t>
        </is>
      </c>
      <c r="B9" s="3">
        <f>C9&amp;D9</f>
        <v/>
      </c>
      <c r="C9" s="3" t="inlineStr">
        <is>
          <t>B</t>
        </is>
      </c>
      <c r="D9" s="10" t="n">
        <v>3</v>
      </c>
      <c r="E9" s="10" t="n"/>
      <c r="F9" s="10" t="n"/>
      <c r="G9" s="10" t="n"/>
      <c r="H9" s="10" t="n"/>
      <c r="I9" s="10" t="n"/>
    </row>
    <row r="10">
      <c r="A10" s="2" t="inlineStr">
        <is>
          <t>Brazil</t>
        </is>
      </c>
      <c r="B10" s="3">
        <f>C10&amp;D10</f>
        <v/>
      </c>
      <c r="C10" s="3" t="inlineStr">
        <is>
          <t>C</t>
        </is>
      </c>
      <c r="D10" s="10" t="n">
        <v>1</v>
      </c>
      <c r="E10" s="10" t="n">
        <v>1</v>
      </c>
      <c r="F10" s="10" t="n">
        <v>1</v>
      </c>
      <c r="G10" s="10" t="n"/>
      <c r="H10" s="10" t="n"/>
      <c r="I10" s="10" t="n"/>
    </row>
    <row r="11">
      <c r="A11" s="2" t="inlineStr">
        <is>
          <t>Morocco</t>
        </is>
      </c>
      <c r="B11" s="3">
        <f>C11&amp;D11</f>
        <v/>
      </c>
      <c r="C11" s="3" t="inlineStr">
        <is>
          <t>C</t>
        </is>
      </c>
      <c r="D11" s="10" t="n">
        <v>2</v>
      </c>
      <c r="E11" s="10" t="n">
        <v>1</v>
      </c>
      <c r="F11" s="10" t="n"/>
      <c r="G11" s="10" t="n"/>
      <c r="H11" s="10" t="n"/>
      <c r="I11" s="10" t="n"/>
    </row>
    <row r="12">
      <c r="A12" s="2" t="inlineStr">
        <is>
          <t>Scotland</t>
        </is>
      </c>
      <c r="B12" s="3">
        <f>C12&amp;D12</f>
        <v/>
      </c>
      <c r="C12" s="3" t="inlineStr">
        <is>
          <t>C</t>
        </is>
      </c>
      <c r="D12" s="10" t="n">
        <v>3</v>
      </c>
      <c r="E12" s="10" t="n"/>
      <c r="F12" s="10" t="n"/>
      <c r="G12" s="10" t="n"/>
      <c r="H12" s="10" t="n"/>
      <c r="I12" s="10" t="n"/>
    </row>
    <row r="13">
      <c r="A13" s="2" t="inlineStr">
        <is>
          <t>Haiti</t>
        </is>
      </c>
      <c r="B13" s="3">
        <f>C13&amp;D13</f>
        <v/>
      </c>
      <c r="C13" s="3" t="inlineStr">
        <is>
          <t>C</t>
        </is>
      </c>
      <c r="D13" s="10" t="n">
        <v>4</v>
      </c>
      <c r="E13" s="10" t="n"/>
      <c r="F13" s="10" t="n"/>
      <c r="G13" s="10" t="n"/>
      <c r="H13" s="10" t="n"/>
      <c r="I13" s="10" t="n"/>
    </row>
    <row r="14">
      <c r="A14" s="2" t="inlineStr">
        <is>
          <t>USA</t>
        </is>
      </c>
      <c r="B14" s="3">
        <f>C14&amp;D14</f>
        <v/>
      </c>
      <c r="C14" s="3" t="inlineStr">
        <is>
          <t>D</t>
        </is>
      </c>
      <c r="D14" s="10" t="n">
        <v>1</v>
      </c>
      <c r="E14" s="10" t="n">
        <v>1</v>
      </c>
      <c r="F14" s="10" t="n"/>
      <c r="G14" s="10" t="n"/>
      <c r="H14" s="10" t="n"/>
      <c r="I14" s="10" t="n"/>
    </row>
    <row r="15">
      <c r="A15" s="2" t="inlineStr">
        <is>
          <t>Paraguay</t>
        </is>
      </c>
      <c r="B15" s="3">
        <f>C15&amp;D15</f>
        <v/>
      </c>
      <c r="C15" s="3" t="inlineStr">
        <is>
          <t>D</t>
        </is>
      </c>
      <c r="D15" s="10" t="n">
        <v>4</v>
      </c>
      <c r="E15" s="10" t="n"/>
      <c r="F15" s="10" t="n"/>
      <c r="G15" s="10" t="n"/>
      <c r="H15" s="10" t="n"/>
      <c r="I15" s="10" t="n"/>
    </row>
    <row r="16">
      <c r="A16" s="2" t="inlineStr">
        <is>
          <t>Australia</t>
        </is>
      </c>
      <c r="B16" s="3">
        <f>C16&amp;D16</f>
        <v/>
      </c>
      <c r="C16" s="3" t="inlineStr">
        <is>
          <t>D</t>
        </is>
      </c>
      <c r="D16" s="10" t="n">
        <v>2</v>
      </c>
      <c r="E16" s="10" t="n"/>
      <c r="F16" s="10" t="n"/>
      <c r="G16" s="10" t="n"/>
      <c r="H16" s="10" t="n"/>
      <c r="I16" s="10" t="n"/>
    </row>
    <row r="17">
      <c r="A17" s="2" t="inlineStr">
        <is>
          <t>Turkiye</t>
        </is>
      </c>
      <c r="B17" s="3">
        <f>C17&amp;D17</f>
        <v/>
      </c>
      <c r="C17" s="3" t="inlineStr">
        <is>
          <t>D</t>
        </is>
      </c>
      <c r="D17" s="10" t="n">
        <v>3</v>
      </c>
      <c r="E17" s="10" t="n"/>
      <c r="F17" s="10" t="n"/>
      <c r="G17" s="10" t="n"/>
      <c r="H17" s="10" t="n"/>
      <c r="I17" s="10" t="n"/>
    </row>
    <row r="18">
      <c r="A18" s="2" t="inlineStr">
        <is>
          <t>Germany</t>
        </is>
      </c>
      <c r="B18" s="3">
        <f>C18&amp;D18</f>
        <v/>
      </c>
      <c r="C18" s="3" t="inlineStr">
        <is>
          <t>E</t>
        </is>
      </c>
      <c r="D18" s="10" t="n">
        <v>1</v>
      </c>
      <c r="E18" s="10" t="n">
        <v>1</v>
      </c>
      <c r="F18" s="10" t="n">
        <v>1</v>
      </c>
      <c r="G18" s="10" t="n"/>
      <c r="H18" s="10" t="n"/>
      <c r="I18" s="10" t="n"/>
    </row>
    <row r="19">
      <c r="A19" s="2" t="inlineStr">
        <is>
          <t>Ecuador</t>
        </is>
      </c>
      <c r="B19" s="3">
        <f>C19&amp;D19</f>
        <v/>
      </c>
      <c r="C19" s="3" t="inlineStr">
        <is>
          <t>E</t>
        </is>
      </c>
      <c r="D19" s="10" t="n">
        <v>3</v>
      </c>
      <c r="E19" s="10" t="n"/>
      <c r="F19" s="10" t="n"/>
      <c r="G19" s="10" t="n"/>
      <c r="H19" s="10" t="n"/>
      <c r="I19" s="10" t="n"/>
    </row>
    <row r="20">
      <c r="A20" s="2" t="inlineStr">
        <is>
          <t>Ivory Coast</t>
        </is>
      </c>
      <c r="B20" s="3">
        <f>C20&amp;D20</f>
        <v/>
      </c>
      <c r="C20" s="3" t="inlineStr">
        <is>
          <t>E</t>
        </is>
      </c>
      <c r="D20" s="10" t="n">
        <v>2</v>
      </c>
      <c r="E20" s="10" t="n"/>
      <c r="F20" s="10" t="n"/>
      <c r="G20" s="10" t="n"/>
      <c r="H20" s="10" t="n"/>
      <c r="I20" s="10" t="n"/>
    </row>
    <row r="21">
      <c r="A21" s="2" t="inlineStr">
        <is>
          <t>Curacao</t>
        </is>
      </c>
      <c r="B21" s="3">
        <f>C21&amp;D21</f>
        <v/>
      </c>
      <c r="C21" s="3" t="inlineStr">
        <is>
          <t>E</t>
        </is>
      </c>
      <c r="D21" s="10" t="n">
        <v>4</v>
      </c>
      <c r="E21" s="10" t="n"/>
      <c r="F21" s="10" t="n"/>
      <c r="G21" s="10" t="n"/>
      <c r="H21" s="10" t="n"/>
      <c r="I21" s="10" t="n"/>
    </row>
    <row r="22">
      <c r="A22" s="2" t="inlineStr">
        <is>
          <t>Netherlands</t>
        </is>
      </c>
      <c r="B22" s="3">
        <f>C22&amp;D22</f>
        <v/>
      </c>
      <c r="C22" s="3" t="inlineStr">
        <is>
          <t>F</t>
        </is>
      </c>
      <c r="D22" s="10" t="n">
        <v>1</v>
      </c>
      <c r="E22" s="10" t="n">
        <v>1</v>
      </c>
      <c r="F22" s="10" t="n">
        <v>1</v>
      </c>
      <c r="G22" s="10" t="n"/>
      <c r="H22" s="10" t="n"/>
      <c r="I22" s="10" t="n"/>
    </row>
    <row r="23">
      <c r="A23" s="2" t="inlineStr">
        <is>
          <t>Japan</t>
        </is>
      </c>
      <c r="B23" s="3">
        <f>C23&amp;D23</f>
        <v/>
      </c>
      <c r="C23" s="3" t="inlineStr">
        <is>
          <t>F</t>
        </is>
      </c>
      <c r="D23" s="10" t="n">
        <v>2</v>
      </c>
      <c r="E23" s="10" t="n"/>
      <c r="F23" s="10" t="n"/>
      <c r="G23" s="10" t="n"/>
      <c r="H23" s="10" t="n"/>
      <c r="I23" s="10" t="n"/>
    </row>
    <row r="24">
      <c r="A24" s="2" t="inlineStr">
        <is>
          <t>Tunisia</t>
        </is>
      </c>
      <c r="B24" s="3">
        <f>C24&amp;D24</f>
        <v/>
      </c>
      <c r="C24" s="3" t="inlineStr">
        <is>
          <t>F</t>
        </is>
      </c>
      <c r="D24" s="10" t="n">
        <v>4</v>
      </c>
      <c r="E24" s="10" t="n"/>
      <c r="F24" s="10" t="n"/>
      <c r="G24" s="10" t="n"/>
      <c r="H24" s="10" t="n"/>
      <c r="I24" s="10" t="n"/>
    </row>
    <row r="25">
      <c r="A25" s="2" t="inlineStr">
        <is>
          <t>Sweden</t>
        </is>
      </c>
      <c r="B25" s="3">
        <f>C25&amp;D25</f>
        <v/>
      </c>
      <c r="C25" s="3" t="inlineStr">
        <is>
          <t>F</t>
        </is>
      </c>
      <c r="D25" s="10" t="n">
        <v>3</v>
      </c>
      <c r="E25" s="10" t="n"/>
      <c r="F25" s="10" t="n"/>
      <c r="G25" s="10" t="n"/>
      <c r="H25" s="10" t="n"/>
      <c r="I25" s="10" t="n"/>
    </row>
    <row r="26">
      <c r="A26" s="2" t="inlineStr">
        <is>
          <t>Belgium</t>
        </is>
      </c>
      <c r="B26" s="3">
        <f>C26&amp;D26</f>
        <v/>
      </c>
      <c r="C26" s="3" t="inlineStr">
        <is>
          <t>G</t>
        </is>
      </c>
      <c r="D26" s="10" t="n">
        <v>1</v>
      </c>
      <c r="E26" s="10" t="n">
        <v>1</v>
      </c>
      <c r="F26" s="10" t="n"/>
      <c r="G26" s="10" t="n"/>
      <c r="H26" s="10" t="n"/>
      <c r="I26" s="10" t="n"/>
    </row>
    <row r="27">
      <c r="A27" s="2" t="inlineStr">
        <is>
          <t>Iran</t>
        </is>
      </c>
      <c r="B27" s="3">
        <f>C27&amp;D27</f>
        <v/>
      </c>
      <c r="C27" s="3" t="inlineStr">
        <is>
          <t>G</t>
        </is>
      </c>
      <c r="D27" s="10" t="n">
        <v>3</v>
      </c>
      <c r="E27" s="10" t="n"/>
      <c r="F27" s="10" t="n"/>
      <c r="G27" s="10" t="n"/>
      <c r="H27" s="10" t="n"/>
      <c r="I27" s="10" t="n"/>
    </row>
    <row r="28">
      <c r="A28" s="2" t="inlineStr">
        <is>
          <t>Egypt</t>
        </is>
      </c>
      <c r="B28" s="3">
        <f>C28&amp;D28</f>
        <v/>
      </c>
      <c r="C28" s="3" t="inlineStr">
        <is>
          <t>G</t>
        </is>
      </c>
      <c r="D28" s="10" t="n">
        <v>2</v>
      </c>
      <c r="E28" s="10" t="n"/>
      <c r="F28" s="10" t="n"/>
      <c r="G28" s="10" t="n"/>
      <c r="H28" s="10" t="n"/>
      <c r="I28" s="10" t="n"/>
    </row>
    <row r="29">
      <c r="A29" s="2" t="inlineStr">
        <is>
          <t>New Zealand</t>
        </is>
      </c>
      <c r="B29" s="3">
        <f>C29&amp;D29</f>
        <v/>
      </c>
      <c r="C29" s="3" t="inlineStr">
        <is>
          <t>G</t>
        </is>
      </c>
      <c r="D29" s="10" t="n">
        <v>4</v>
      </c>
      <c r="E29" s="10" t="n"/>
      <c r="F29" s="10" t="n"/>
      <c r="G29" s="10" t="n"/>
      <c r="H29" s="10" t="n"/>
      <c r="I29" s="10" t="n"/>
    </row>
    <row r="30">
      <c r="A30" s="2" t="inlineStr">
        <is>
          <t>Spain</t>
        </is>
      </c>
      <c r="B30" s="3">
        <f>C30&amp;D30</f>
        <v/>
      </c>
      <c r="C30" s="3" t="inlineStr">
        <is>
          <t>H</t>
        </is>
      </c>
      <c r="D30" s="10" t="n">
        <v>1</v>
      </c>
      <c r="E30" s="10" t="n">
        <v>1</v>
      </c>
      <c r="F30" s="10" t="n">
        <v>1</v>
      </c>
      <c r="G30" s="10" t="n">
        <v>1</v>
      </c>
      <c r="H30" s="10" t="n">
        <v>1</v>
      </c>
      <c r="I30" s="10" t="n">
        <v>1</v>
      </c>
    </row>
    <row r="31">
      <c r="A31" s="2" t="inlineStr">
        <is>
          <t>Uruguay</t>
        </is>
      </c>
      <c r="B31" s="3">
        <f>C31&amp;D31</f>
        <v/>
      </c>
      <c r="C31" s="3" t="inlineStr">
        <is>
          <t>H</t>
        </is>
      </c>
      <c r="D31" s="10" t="n">
        <v>2</v>
      </c>
      <c r="E31" s="10" t="n">
        <v>1</v>
      </c>
      <c r="F31" s="10" t="n"/>
      <c r="G31" s="10" t="n"/>
      <c r="H31" s="10" t="n"/>
      <c r="I31" s="10" t="n"/>
    </row>
    <row r="32">
      <c r="A32" s="2" t="inlineStr">
        <is>
          <t>Saudi Arabia</t>
        </is>
      </c>
      <c r="B32" s="3">
        <f>C32&amp;D32</f>
        <v/>
      </c>
      <c r="C32" s="3" t="inlineStr">
        <is>
          <t>H</t>
        </is>
      </c>
      <c r="D32" s="10" t="n">
        <v>3</v>
      </c>
      <c r="E32" s="10" t="n"/>
      <c r="F32" s="10" t="n"/>
      <c r="G32" s="10" t="n"/>
      <c r="H32" s="10" t="n"/>
      <c r="I32" s="10" t="n"/>
    </row>
    <row r="33">
      <c r="A33" s="2" t="inlineStr">
        <is>
          <t>Cape Verde</t>
        </is>
      </c>
      <c r="B33" s="3">
        <f>C33&amp;D33</f>
        <v/>
      </c>
      <c r="C33" s="3" t="inlineStr">
        <is>
          <t>H</t>
        </is>
      </c>
      <c r="D33" s="10" t="n">
        <v>4</v>
      </c>
      <c r="E33" s="10" t="n"/>
      <c r="F33" s="10" t="n"/>
      <c r="G33" s="10" t="n"/>
      <c r="H33" s="10" t="n"/>
      <c r="I33" s="10" t="n"/>
    </row>
    <row r="34">
      <c r="A34" s="2" t="inlineStr">
        <is>
          <t>France</t>
        </is>
      </c>
      <c r="B34" s="3">
        <f>C34&amp;D34</f>
        <v/>
      </c>
      <c r="C34" s="3" t="inlineStr">
        <is>
          <t>I</t>
        </is>
      </c>
      <c r="D34" s="10" t="n">
        <v>1</v>
      </c>
      <c r="E34" s="10" t="n">
        <v>1</v>
      </c>
      <c r="F34" s="10" t="n">
        <v>1</v>
      </c>
      <c r="G34" s="10" t="n">
        <v>1</v>
      </c>
      <c r="H34" s="10" t="n">
        <v>1</v>
      </c>
      <c r="I34" s="10" t="n"/>
    </row>
    <row r="35">
      <c r="A35" s="2" t="inlineStr">
        <is>
          <t>Senegal</t>
        </is>
      </c>
      <c r="B35" s="3">
        <f>C35&amp;D35</f>
        <v/>
      </c>
      <c r="C35" s="3" t="inlineStr">
        <is>
          <t>I</t>
        </is>
      </c>
      <c r="D35" s="10" t="n">
        <v>2</v>
      </c>
      <c r="E35" s="10" t="n">
        <v>1</v>
      </c>
      <c r="F35" s="10" t="n"/>
      <c r="G35" s="10" t="n"/>
      <c r="H35" s="10" t="n"/>
      <c r="I35" s="10" t="n"/>
    </row>
    <row r="36">
      <c r="A36" s="2" t="inlineStr">
        <is>
          <t>Norway</t>
        </is>
      </c>
      <c r="B36" s="3">
        <f>C36&amp;D36</f>
        <v/>
      </c>
      <c r="C36" s="3" t="inlineStr">
        <is>
          <t>I</t>
        </is>
      </c>
      <c r="D36" s="10" t="n">
        <v>3</v>
      </c>
      <c r="E36" s="10" t="n"/>
      <c r="F36" s="10" t="n"/>
      <c r="G36" s="10" t="n"/>
      <c r="H36" s="10" t="n"/>
      <c r="I36" s="10" t="n"/>
    </row>
    <row r="37">
      <c r="A37" s="2" t="inlineStr">
        <is>
          <t>Iraq</t>
        </is>
      </c>
      <c r="B37" s="3">
        <f>C37&amp;D37</f>
        <v/>
      </c>
      <c r="C37" s="3" t="inlineStr">
        <is>
          <t>I</t>
        </is>
      </c>
      <c r="D37" s="10" t="n">
        <v>4</v>
      </c>
      <c r="E37" s="10" t="n"/>
      <c r="F37" s="10" t="n"/>
      <c r="G37" s="10" t="n"/>
      <c r="H37" s="10" t="n"/>
      <c r="I37" s="10" t="n"/>
    </row>
    <row r="38">
      <c r="A38" s="2" t="inlineStr">
        <is>
          <t>Argentina</t>
        </is>
      </c>
      <c r="B38" s="3">
        <f>C38&amp;D38</f>
        <v/>
      </c>
      <c r="C38" s="3" t="inlineStr">
        <is>
          <t>J</t>
        </is>
      </c>
      <c r="D38" s="10" t="n">
        <v>1</v>
      </c>
      <c r="E38" s="10" t="n">
        <v>1</v>
      </c>
      <c r="F38" s="10" t="n">
        <v>1</v>
      </c>
      <c r="G38" s="10" t="n">
        <v>1</v>
      </c>
      <c r="H38" s="10" t="n"/>
      <c r="I38" s="10" t="n"/>
    </row>
    <row r="39">
      <c r="A39" s="2" t="inlineStr">
        <is>
          <t>Austria</t>
        </is>
      </c>
      <c r="B39" s="3">
        <f>C39&amp;D39</f>
        <v/>
      </c>
      <c r="C39" s="3" t="inlineStr">
        <is>
          <t>J</t>
        </is>
      </c>
      <c r="D39" s="10" t="n">
        <v>2</v>
      </c>
      <c r="E39" s="10" t="n"/>
      <c r="F39" s="10" t="n"/>
      <c r="G39" s="10" t="n"/>
      <c r="H39" s="10" t="n"/>
      <c r="I39" s="10" t="n"/>
    </row>
    <row r="40">
      <c r="A40" s="2" t="inlineStr">
        <is>
          <t>Algeria</t>
        </is>
      </c>
      <c r="B40" s="3">
        <f>C40&amp;D40</f>
        <v/>
      </c>
      <c r="C40" s="3" t="inlineStr">
        <is>
          <t>J</t>
        </is>
      </c>
      <c r="D40" s="10" t="n">
        <v>3</v>
      </c>
      <c r="E40" s="10" t="n"/>
      <c r="F40" s="10" t="n"/>
      <c r="G40" s="10" t="n"/>
      <c r="H40" s="10" t="n"/>
      <c r="I40" s="10" t="n"/>
    </row>
    <row r="41">
      <c r="A41" s="2" t="inlineStr">
        <is>
          <t>Jordan</t>
        </is>
      </c>
      <c r="B41" s="3">
        <f>C41&amp;D41</f>
        <v/>
      </c>
      <c r="C41" s="3" t="inlineStr">
        <is>
          <t>J</t>
        </is>
      </c>
      <c r="D41" s="10" t="n">
        <v>4</v>
      </c>
      <c r="E41" s="10" t="n"/>
      <c r="F41" s="10" t="n"/>
      <c r="G41" s="10" t="n"/>
      <c r="H41" s="10" t="n"/>
      <c r="I41" s="10" t="n"/>
    </row>
    <row r="42">
      <c r="A42" s="2" t="inlineStr">
        <is>
          <t>Portugal</t>
        </is>
      </c>
      <c r="B42" s="3">
        <f>C42&amp;D42</f>
        <v/>
      </c>
      <c r="C42" s="3" t="inlineStr">
        <is>
          <t>K</t>
        </is>
      </c>
      <c r="D42" s="10" t="n">
        <v>1</v>
      </c>
      <c r="E42" s="10" t="n">
        <v>1</v>
      </c>
      <c r="F42" s="10" t="n">
        <v>1</v>
      </c>
      <c r="G42" s="10" t="n"/>
      <c r="H42" s="10" t="n"/>
      <c r="I42" s="10" t="n"/>
    </row>
    <row r="43">
      <c r="A43" s="2" t="inlineStr">
        <is>
          <t>Colombia</t>
        </is>
      </c>
      <c r="B43" s="3">
        <f>C43&amp;D43</f>
        <v/>
      </c>
      <c r="C43" s="3" t="inlineStr">
        <is>
          <t>K</t>
        </is>
      </c>
      <c r="D43" s="10" t="n">
        <v>2</v>
      </c>
      <c r="E43" s="10" t="n"/>
      <c r="F43" s="10" t="n"/>
      <c r="G43" s="10" t="n"/>
      <c r="H43" s="10" t="n"/>
      <c r="I43" s="10" t="n"/>
    </row>
    <row r="44">
      <c r="A44" s="2" t="inlineStr">
        <is>
          <t>Uzbekistan</t>
        </is>
      </c>
      <c r="B44" s="3">
        <f>C44&amp;D44</f>
        <v/>
      </c>
      <c r="C44" s="3" t="inlineStr">
        <is>
          <t>K</t>
        </is>
      </c>
      <c r="D44" s="10" t="n">
        <v>4</v>
      </c>
      <c r="E44" s="10" t="n"/>
      <c r="F44" s="10" t="n"/>
      <c r="G44" s="10" t="n"/>
      <c r="H44" s="10" t="n"/>
      <c r="I44" s="10" t="n"/>
    </row>
    <row r="45">
      <c r="A45" s="2" t="inlineStr">
        <is>
          <t>DR Congo</t>
        </is>
      </c>
      <c r="B45" s="3">
        <f>C45&amp;D45</f>
        <v/>
      </c>
      <c r="C45" s="3" t="inlineStr">
        <is>
          <t>K</t>
        </is>
      </c>
      <c r="D45" s="10" t="n">
        <v>3</v>
      </c>
      <c r="E45" s="10" t="n"/>
      <c r="F45" s="10" t="n"/>
      <c r="G45" s="10" t="n"/>
      <c r="H45" s="10" t="n"/>
      <c r="I45" s="10" t="n"/>
    </row>
    <row r="46">
      <c r="A46" s="2" t="inlineStr">
        <is>
          <t>England</t>
        </is>
      </c>
      <c r="B46" s="3">
        <f>C46&amp;D46</f>
        <v/>
      </c>
      <c r="C46" s="3" t="inlineStr">
        <is>
          <t>L</t>
        </is>
      </c>
      <c r="D46" s="10" t="n">
        <v>1</v>
      </c>
      <c r="E46" s="10" t="n">
        <v>1</v>
      </c>
      <c r="F46" s="10" t="n">
        <v>1</v>
      </c>
      <c r="G46" s="10" t="n">
        <v>1</v>
      </c>
      <c r="H46" s="10" t="n"/>
      <c r="I46" s="10" t="n"/>
    </row>
    <row r="47">
      <c r="A47" s="2" t="inlineStr">
        <is>
          <t>Croatia</t>
        </is>
      </c>
      <c r="B47" s="3">
        <f>C47&amp;D47</f>
        <v/>
      </c>
      <c r="C47" s="3" t="inlineStr">
        <is>
          <t>L</t>
        </is>
      </c>
      <c r="D47" s="10" t="n">
        <v>2</v>
      </c>
      <c r="E47" s="10" t="n"/>
      <c r="F47" s="10" t="n"/>
      <c r="G47" s="10" t="n"/>
      <c r="H47" s="10" t="n"/>
      <c r="I47" s="10" t="n"/>
    </row>
    <row r="48">
      <c r="A48" s="2" t="inlineStr">
        <is>
          <t>Panama</t>
        </is>
      </c>
      <c r="B48" s="3">
        <f>C48&amp;D48</f>
        <v/>
      </c>
      <c r="C48" s="3" t="inlineStr">
        <is>
          <t>L</t>
        </is>
      </c>
      <c r="D48" s="10" t="n">
        <v>4</v>
      </c>
      <c r="E48" s="10" t="n"/>
      <c r="F48" s="10" t="n"/>
      <c r="G48" s="10" t="n"/>
      <c r="H48" s="10" t="n"/>
      <c r="I48" s="10" t="n"/>
    </row>
    <row r="49">
      <c r="A49" s="2" t="inlineStr">
        <is>
          <t>Ghana</t>
        </is>
      </c>
      <c r="B49" s="3">
        <f>C49&amp;D49</f>
        <v/>
      </c>
      <c r="C49" s="3" t="inlineStr">
        <is>
          <t>L</t>
        </is>
      </c>
      <c r="D49" s="10" t="n">
        <v>3</v>
      </c>
      <c r="E49" s="10" t="n"/>
      <c r="F49" s="10" t="n"/>
      <c r="G49" s="10" t="n"/>
      <c r="H49" s="10" t="n"/>
      <c r="I49" s="10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zoomScaleNormal="100" workbookViewId="0">
      <selection activeCell="E14" sqref="E14"/>
    </sheetView>
  </sheetViews>
  <sheetFormatPr baseColWidth="8" defaultColWidth="8.6328125" defaultRowHeight="14.5"/>
  <cols>
    <col width="26" customWidth="1" min="1" max="1"/>
    <col width="16" customWidth="1" min="2" max="2"/>
    <col width="14" customWidth="1" min="3" max="5"/>
    <col width="3" customWidth="1" min="6" max="6"/>
    <col width="20" customWidth="1" min="7" max="7"/>
    <col width="26" customWidth="1" min="8" max="8"/>
    <col width="4" customWidth="1" min="9" max="9"/>
    <col width="3" customWidth="1" min="10" max="10"/>
  </cols>
  <sheetData>
    <row r="1">
      <c r="A1" s="1" t="inlineStr">
        <is>
          <t>GROUP CHECK</t>
        </is>
      </c>
      <c r="B1" s="1" t="n">
        <v>1</v>
      </c>
      <c r="C1" s="1" t="n">
        <v>2</v>
      </c>
      <c r="D1" s="1" t="n">
        <v>3</v>
      </c>
      <c r="E1" s="1" t="n">
        <v>4</v>
      </c>
      <c r="G1" s="1" t="inlineStr">
        <is>
          <t>STAGE COUNT CHECK</t>
        </is>
      </c>
      <c r="H1" s="1" t="inlineStr">
        <is>
          <t>STATUS</t>
        </is>
      </c>
      <c r="I1" s="1" t="n"/>
    </row>
    <row r="2">
      <c r="A2" s="12" t="inlineStr">
        <is>
          <t>A</t>
        </is>
      </c>
      <c r="B2" s="3">
        <f>IF(ISNA(MATCH($A2&amp;B$1,'Elimination Rounds'!$B$2:$B$49,0)),"Choice not made!",INDEX('Elimination Rounds'!$A$2:$A$49,MATCH($A2&amp;B$1,'Elimination Rounds'!$B$2:$B$49,0)))</f>
        <v/>
      </c>
      <c r="C2" s="3">
        <f>IF(ISNA(MATCH($A2&amp;C$1,'Elimination Rounds'!$B$2:$B$49,0)),"Choice not made!",INDEX('Elimination Rounds'!$A$2:$A$49,MATCH($A2&amp;C$1,'Elimination Rounds'!$B$2:$B$49,0)))</f>
        <v/>
      </c>
      <c r="D2" s="3">
        <f>IF(ISNA(MATCH($A2&amp;D$1,'Elimination Rounds'!$B$2:$B$49,0)),"Choice not made!",INDEX('Elimination Rounds'!$A$2:$A$49,MATCH($A2&amp;D$1,'Elimination Rounds'!$B$2:$B$49,0)))</f>
        <v/>
      </c>
      <c r="E2" s="3">
        <f>IF(ISNA(MATCH($A2&amp;E$1,'Elimination Rounds'!$B$2:$B$49,0)),"Choice not made!",INDEX('Elimination Rounds'!$A$2:$A$49,MATCH($A2&amp;E$1,'Elimination Rounds'!$B$2:$B$49,0)))</f>
        <v/>
      </c>
      <c r="G2" s="2" t="inlineStr">
        <is>
          <t>ROUND OF 16</t>
        </is>
      </c>
      <c r="H2" s="3">
        <f>IF(SUM('Elimination Rounds'!E2:E49)=16,"OK","DID NOT SELECT CORRECT NUMBER")</f>
        <v/>
      </c>
      <c r="I2" s="7" t="inlineStr">
        <is>
          <t>:16</t>
        </is>
      </c>
    </row>
    <row r="3">
      <c r="A3" s="12" t="inlineStr">
        <is>
          <t>B</t>
        </is>
      </c>
      <c r="B3" s="3">
        <f>IF(ISNA(MATCH($A3&amp;B$1,'Elimination Rounds'!$B$2:$B$49,0)),"Choice not made!",INDEX('Elimination Rounds'!$A$2:$A$49,MATCH($A3&amp;B$1,'Elimination Rounds'!$B$2:$B$49,0)))</f>
        <v/>
      </c>
      <c r="C3" s="3">
        <f>IF(ISNA(MATCH($A3&amp;C$1,'Elimination Rounds'!$B$2:$B$49,0)),"Choice not made!",INDEX('Elimination Rounds'!$A$2:$A$49,MATCH($A3&amp;C$1,'Elimination Rounds'!$B$2:$B$49,0)))</f>
        <v/>
      </c>
      <c r="D3" s="3">
        <f>IF(ISNA(MATCH($A3&amp;D$1,'Elimination Rounds'!$B$2:$B$49,0)),"Choice not made!",INDEX('Elimination Rounds'!$A$2:$A$49,MATCH($A3&amp;D$1,'Elimination Rounds'!$B$2:$B$49,0)))</f>
        <v/>
      </c>
      <c r="E3" s="3">
        <f>IF(ISNA(MATCH($A3&amp;E$1,'Elimination Rounds'!$B$2:$B$49,0)),"Choice not made!",INDEX('Elimination Rounds'!$A$2:$A$49,MATCH($A3&amp;E$1,'Elimination Rounds'!$B$2:$B$49,0)))</f>
        <v/>
      </c>
      <c r="G3" s="2" t="inlineStr">
        <is>
          <t>QUARTER-FINALS</t>
        </is>
      </c>
      <c r="H3" s="3">
        <f>IF(SUM('Elimination Rounds'!F2:F49)=8,"OK","DID NOT SELECT CORRECT NUMBER")</f>
        <v/>
      </c>
      <c r="I3" s="7" t="inlineStr">
        <is>
          <t>:8</t>
        </is>
      </c>
    </row>
    <row r="4">
      <c r="A4" s="12" t="inlineStr">
        <is>
          <t>C</t>
        </is>
      </c>
      <c r="B4" s="3">
        <f>IF(ISNA(MATCH($A4&amp;B$1,'Elimination Rounds'!$B$2:$B$49,0)),"Choice not made!",INDEX('Elimination Rounds'!$A$2:$A$49,MATCH($A4&amp;B$1,'Elimination Rounds'!$B$2:$B$49,0)))</f>
        <v/>
      </c>
      <c r="C4" s="3">
        <f>IF(ISNA(MATCH($A4&amp;C$1,'Elimination Rounds'!$B$2:$B$49,0)),"Choice not made!",INDEX('Elimination Rounds'!$A$2:$A$49,MATCH($A4&amp;C$1,'Elimination Rounds'!$B$2:$B$49,0)))</f>
        <v/>
      </c>
      <c r="D4" s="3">
        <f>IF(ISNA(MATCH($A4&amp;D$1,'Elimination Rounds'!$B$2:$B$49,0)),"Choice not made!",INDEX('Elimination Rounds'!$A$2:$A$49,MATCH($A4&amp;D$1,'Elimination Rounds'!$B$2:$B$49,0)))</f>
        <v/>
      </c>
      <c r="E4" s="3">
        <f>IF(ISNA(MATCH($A4&amp;E$1,'Elimination Rounds'!$B$2:$B$49,0)),"Choice not made!",INDEX('Elimination Rounds'!$A$2:$A$49,MATCH($A4&amp;E$1,'Elimination Rounds'!$B$2:$B$49,0)))</f>
        <v/>
      </c>
      <c r="G4" s="2" t="inlineStr">
        <is>
          <t>SEMI-FINALS</t>
        </is>
      </c>
      <c r="H4" s="3">
        <f>IF(SUM('Elimination Rounds'!G2:G49)=4,"OK","DID NOT SELECT CORRECT NUMBER")</f>
        <v/>
      </c>
      <c r="I4" s="7" t="inlineStr">
        <is>
          <t>:4</t>
        </is>
      </c>
    </row>
    <row r="5">
      <c r="A5" s="12" t="inlineStr">
        <is>
          <t>D</t>
        </is>
      </c>
      <c r="B5" s="3">
        <f>IF(ISNA(MATCH($A5&amp;B$1,'Elimination Rounds'!$B$2:$B$49,0)),"Choice not made!",INDEX('Elimination Rounds'!$A$2:$A$49,MATCH($A5&amp;B$1,'Elimination Rounds'!$B$2:$B$49,0)))</f>
        <v/>
      </c>
      <c r="C5" s="3">
        <f>IF(ISNA(MATCH($A5&amp;C$1,'Elimination Rounds'!$B$2:$B$49,0)),"Choice not made!",INDEX('Elimination Rounds'!$A$2:$A$49,MATCH($A5&amp;C$1,'Elimination Rounds'!$B$2:$B$49,0)))</f>
        <v/>
      </c>
      <c r="D5" s="3">
        <f>IF(ISNA(MATCH($A5&amp;D$1,'Elimination Rounds'!$B$2:$B$49,0)),"Choice not made!",INDEX('Elimination Rounds'!$A$2:$A$49,MATCH($A5&amp;D$1,'Elimination Rounds'!$B$2:$B$49,0)))</f>
        <v/>
      </c>
      <c r="E5" s="3">
        <f>IF(ISNA(MATCH($A5&amp;E$1,'Elimination Rounds'!$B$2:$B$49,0)),"Choice not made!",INDEX('Elimination Rounds'!$A$2:$A$49,MATCH($A5&amp;E$1,'Elimination Rounds'!$B$2:$B$49,0)))</f>
        <v/>
      </c>
      <c r="G5" s="2" t="inlineStr">
        <is>
          <t>FINAL</t>
        </is>
      </c>
      <c r="H5" s="3">
        <f>IF(SUM('Elimination Rounds'!H2:H49)=2,"OK","DID NOT SELECT CORRECT NUMBER")</f>
        <v/>
      </c>
      <c r="I5" s="7" t="inlineStr">
        <is>
          <t>:2</t>
        </is>
      </c>
    </row>
    <row r="6">
      <c r="A6" s="12" t="inlineStr">
        <is>
          <t>E</t>
        </is>
      </c>
      <c r="B6" s="3">
        <f>IF(ISNA(MATCH($A6&amp;B$1,'Elimination Rounds'!$B$2:$B$49,0)),"Choice not made!",INDEX('Elimination Rounds'!$A$2:$A$49,MATCH($A6&amp;B$1,'Elimination Rounds'!$B$2:$B$49,0)))</f>
        <v/>
      </c>
      <c r="C6" s="3">
        <f>IF(ISNA(MATCH($A6&amp;C$1,'Elimination Rounds'!$B$2:$B$49,0)),"Choice not made!",INDEX('Elimination Rounds'!$A$2:$A$49,MATCH($A6&amp;C$1,'Elimination Rounds'!$B$2:$B$49,0)))</f>
        <v/>
      </c>
      <c r="D6" s="3">
        <f>IF(ISNA(MATCH($A6&amp;D$1,'Elimination Rounds'!$B$2:$B$49,0)),"Choice not made!",INDEX('Elimination Rounds'!$A$2:$A$49,MATCH($A6&amp;D$1,'Elimination Rounds'!$B$2:$B$49,0)))</f>
        <v/>
      </c>
      <c r="E6" s="3">
        <f>IF(ISNA(MATCH($A6&amp;E$1,'Elimination Rounds'!$B$2:$B$49,0)),"Choice not made!",INDEX('Elimination Rounds'!$A$2:$A$49,MATCH($A6&amp;E$1,'Elimination Rounds'!$B$2:$B$49,0)))</f>
        <v/>
      </c>
      <c r="G6" s="2" t="inlineStr">
        <is>
          <t>WINNER</t>
        </is>
      </c>
      <c r="H6" s="3">
        <f>IF(SUM('Elimination Rounds'!I2:I49)=1,"OK","DID NOT SELECT CORRECT NUMBER")</f>
        <v/>
      </c>
      <c r="I6" s="7" t="inlineStr">
        <is>
          <t>:1</t>
        </is>
      </c>
    </row>
    <row r="7">
      <c r="A7" s="12" t="inlineStr">
        <is>
          <t>F</t>
        </is>
      </c>
      <c r="B7" s="3">
        <f>IF(ISNA(MATCH($A7&amp;B$1,'Elimination Rounds'!$B$2:$B$49,0)),"Choice not made!",INDEX('Elimination Rounds'!$A$2:$A$49,MATCH($A7&amp;B$1,'Elimination Rounds'!$B$2:$B$49,0)))</f>
        <v/>
      </c>
      <c r="C7" s="3">
        <f>IF(ISNA(MATCH($A7&amp;C$1,'Elimination Rounds'!$B$2:$B$49,0)),"Choice not made!",INDEX('Elimination Rounds'!$A$2:$A$49,MATCH($A7&amp;C$1,'Elimination Rounds'!$B$2:$B$49,0)))</f>
        <v/>
      </c>
      <c r="D7" s="3">
        <f>IF(ISNA(MATCH($A7&amp;D$1,'Elimination Rounds'!$B$2:$B$49,0)),"Choice not made!",INDEX('Elimination Rounds'!$A$2:$A$49,MATCH($A7&amp;D$1,'Elimination Rounds'!$B$2:$B$49,0)))</f>
        <v/>
      </c>
      <c r="E7" s="3">
        <f>IF(ISNA(MATCH($A7&amp;E$1,'Elimination Rounds'!$B$2:$B$49,0)),"Choice not made!",INDEX('Elimination Rounds'!$A$2:$A$49,MATCH($A7&amp;E$1,'Elimination Rounds'!$B$2:$B$49,0)))</f>
        <v/>
      </c>
    </row>
    <row r="8">
      <c r="A8" s="12" t="inlineStr">
        <is>
          <t>G</t>
        </is>
      </c>
      <c r="B8" s="3">
        <f>IF(ISNA(MATCH($A8&amp;B$1,'Elimination Rounds'!$B$2:$B$49,0)),"Choice not made!",INDEX('Elimination Rounds'!$A$2:$A$49,MATCH($A8&amp;B$1,'Elimination Rounds'!$B$2:$B$49,0)))</f>
        <v/>
      </c>
      <c r="C8" s="3">
        <f>IF(ISNA(MATCH($A8&amp;C$1,'Elimination Rounds'!$B$2:$B$49,0)),"Choice not made!",INDEX('Elimination Rounds'!$A$2:$A$49,MATCH($A8&amp;C$1,'Elimination Rounds'!$B$2:$B$49,0)))</f>
        <v/>
      </c>
      <c r="D8" s="3">
        <f>IF(ISNA(MATCH($A8&amp;D$1,'Elimination Rounds'!$B$2:$B$49,0)),"Choice not made!",INDEX('Elimination Rounds'!$A$2:$A$49,MATCH($A8&amp;D$1,'Elimination Rounds'!$B$2:$B$49,0)))</f>
        <v/>
      </c>
      <c r="E8" s="3">
        <f>IF(ISNA(MATCH($A8&amp;E$1,'Elimination Rounds'!$B$2:$B$49,0)),"Choice not made!",INDEX('Elimination Rounds'!$A$2:$A$49,MATCH($A8&amp;E$1,'Elimination Rounds'!$B$2:$B$49,0)))</f>
        <v/>
      </c>
      <c r="G8" s="1" t="inlineStr">
        <is>
          <t>GROUP STAGE GAMES CHECK</t>
        </is>
      </c>
      <c r="H8" s="1" t="inlineStr">
        <is>
          <t>STATUS</t>
        </is>
      </c>
    </row>
    <row r="9">
      <c r="A9" s="12" t="inlineStr">
        <is>
          <t>H</t>
        </is>
      </c>
      <c r="B9" s="3">
        <f>IF(ISNA(MATCH($A9&amp;B$1,'Elimination Rounds'!$B$2:$B$49,0)),"Choice not made!",INDEX('Elimination Rounds'!$A$2:$A$49,MATCH($A9&amp;B$1,'Elimination Rounds'!$B$2:$B$49,0)))</f>
        <v/>
      </c>
      <c r="C9" s="3">
        <f>IF(ISNA(MATCH($A9&amp;C$1,'Elimination Rounds'!$B$2:$B$49,0)),"Choice not made!",INDEX('Elimination Rounds'!$A$2:$A$49,MATCH($A9&amp;C$1,'Elimination Rounds'!$B$2:$B$49,0)))</f>
        <v/>
      </c>
      <c r="D9" s="3">
        <f>IF(ISNA(MATCH($A9&amp;D$1,'Elimination Rounds'!$B$2:$B$49,0)),"Choice not made!",INDEX('Elimination Rounds'!$A$2:$A$49,MATCH($A9&amp;D$1,'Elimination Rounds'!$B$2:$B$49,0)))</f>
        <v/>
      </c>
      <c r="E9" s="3">
        <f>IF(ISNA(MATCH($A9&amp;E$1,'Elimination Rounds'!$B$2:$B$49,0)),"Choice not made!",INDEX('Elimination Rounds'!$A$2:$A$49,MATCH($A9&amp;E$1,'Elimination Rounds'!$B$2:$B$49,0)))</f>
        <v/>
      </c>
      <c r="G9" s="17" t="inlineStr">
        <is>
          <t>GAMES PICKED</t>
        </is>
      </c>
      <c r="H9">
        <f>IF('Group Stage'!J5=72,"GOOD TO GO!","SOME GAMES NOT PICKED")</f>
        <v/>
      </c>
    </row>
    <row r="10">
      <c r="A10" s="12" t="inlineStr">
        <is>
          <t>I</t>
        </is>
      </c>
      <c r="B10" s="3">
        <f>IF(ISNA(MATCH($A10&amp;B$1,'Elimination Rounds'!$B$2:$B$49,0)),"Choice not made!",INDEX('Elimination Rounds'!$A$2:$A$49,MATCH($A10&amp;B$1,'Elimination Rounds'!$B$2:$B$49,0)))</f>
        <v/>
      </c>
      <c r="C10" s="3">
        <f>IF(ISNA(MATCH($A10&amp;C$1,'Elimination Rounds'!$B$2:$B$49,0)),"Choice not made!",INDEX('Elimination Rounds'!$A$2:$A$49,MATCH($A10&amp;C$1,'Elimination Rounds'!$B$2:$B$49,0)))</f>
        <v/>
      </c>
      <c r="D10" s="3">
        <f>IF(ISNA(MATCH($A10&amp;D$1,'Elimination Rounds'!$B$2:$B$49,0)),"Choice not made!",INDEX('Elimination Rounds'!$A$2:$A$49,MATCH($A10&amp;D$1,'Elimination Rounds'!$B$2:$B$49,0)))</f>
        <v/>
      </c>
      <c r="E10" s="3">
        <f>IF(ISNA(MATCH($A10&amp;E$1,'Elimination Rounds'!$B$2:$B$49,0)),"Choice not made!",INDEX('Elimination Rounds'!$A$2:$A$49,MATCH($A10&amp;E$1,'Elimination Rounds'!$B$2:$B$49,0)))</f>
        <v/>
      </c>
    </row>
    <row r="11">
      <c r="A11" s="12" t="inlineStr">
        <is>
          <t>J</t>
        </is>
      </c>
      <c r="B11" s="3">
        <f>IF(ISNA(MATCH($A11&amp;B$1,'Elimination Rounds'!$B$2:$B$49,0)),"Choice not made!",INDEX('Elimination Rounds'!$A$2:$A$49,MATCH($A11&amp;B$1,'Elimination Rounds'!$B$2:$B$49,0)))</f>
        <v/>
      </c>
      <c r="C11" s="3">
        <f>IF(ISNA(MATCH($A11&amp;C$1,'Elimination Rounds'!$B$2:$B$49,0)),"Choice not made!",INDEX('Elimination Rounds'!$A$2:$A$49,MATCH($A11&amp;C$1,'Elimination Rounds'!$B$2:$B$49,0)))</f>
        <v/>
      </c>
      <c r="D11" s="3">
        <f>IF(ISNA(MATCH($A11&amp;D$1,'Elimination Rounds'!$B$2:$B$49,0)),"Choice not made!",INDEX('Elimination Rounds'!$A$2:$A$49,MATCH($A11&amp;D$1,'Elimination Rounds'!$B$2:$B$49,0)))</f>
        <v/>
      </c>
      <c r="E11" s="3">
        <f>IF(ISNA(MATCH($A11&amp;E$1,'Elimination Rounds'!$B$2:$B$49,0)),"Choice not made!",INDEX('Elimination Rounds'!$A$2:$A$49,MATCH($A11&amp;E$1,'Elimination Rounds'!$B$2:$B$49,0)))</f>
        <v/>
      </c>
    </row>
    <row r="12">
      <c r="A12" s="12" t="inlineStr">
        <is>
          <t>K</t>
        </is>
      </c>
      <c r="B12" s="3">
        <f>IF(ISNA(MATCH($A12&amp;B$1,'Elimination Rounds'!$B$2:$B$49,0)),"Choice not made!",INDEX('Elimination Rounds'!$A$2:$A$49,MATCH($A12&amp;B$1,'Elimination Rounds'!$B$2:$B$49,0)))</f>
        <v/>
      </c>
      <c r="C12" s="3">
        <f>IF(ISNA(MATCH($A12&amp;C$1,'Elimination Rounds'!$B$2:$B$49,0)),"Choice not made!",INDEX('Elimination Rounds'!$A$2:$A$49,MATCH($A12&amp;C$1,'Elimination Rounds'!$B$2:$B$49,0)))</f>
        <v/>
      </c>
      <c r="D12" s="3">
        <f>IF(ISNA(MATCH($A12&amp;D$1,'Elimination Rounds'!$B$2:$B$49,0)),"Choice not made!",INDEX('Elimination Rounds'!$A$2:$A$49,MATCH($A12&amp;D$1,'Elimination Rounds'!$B$2:$B$49,0)))</f>
        <v/>
      </c>
      <c r="E12" s="3">
        <f>IF(ISNA(MATCH($A12&amp;E$1,'Elimination Rounds'!$B$2:$B$49,0)),"Choice not made!",INDEX('Elimination Rounds'!$A$2:$A$49,MATCH($A12&amp;E$1,'Elimination Rounds'!$B$2:$B$49,0)))</f>
        <v/>
      </c>
    </row>
    <row r="13">
      <c r="A13" s="12" t="inlineStr">
        <is>
          <t>L</t>
        </is>
      </c>
      <c r="B13" s="3">
        <f>IF(ISNA(MATCH($A13&amp;B$1,'Elimination Rounds'!$B$2:$B$49,0)),"Choice not made!",INDEX('Elimination Rounds'!$A$2:$A$49,MATCH($A13&amp;B$1,'Elimination Rounds'!$B$2:$B$49,0)))</f>
        <v/>
      </c>
      <c r="C13" s="3">
        <f>IF(ISNA(MATCH($A13&amp;C$1,'Elimination Rounds'!$B$2:$B$49,0)),"Choice not made!",INDEX('Elimination Rounds'!$A$2:$A$49,MATCH($A13&amp;C$1,'Elimination Rounds'!$B$2:$B$49,0)))</f>
        <v/>
      </c>
      <c r="D13" s="3">
        <f>IF(ISNA(MATCH($A13&amp;D$1,'Elimination Rounds'!$B$2:$B$49,0)),"Choice not made!",INDEX('Elimination Rounds'!$A$2:$A$49,MATCH($A13&amp;D$1,'Elimination Rounds'!$B$2:$B$49,0)))</f>
        <v/>
      </c>
      <c r="E13" s="3">
        <f>IF(ISNA(MATCH($A13&amp;E$1,'Elimination Rounds'!$B$2:$B$49,0)),"Choice not made!",INDEX('Elimination Rounds'!$A$2:$A$49,MATCH($A13&amp;E$1,'Elimination Rounds'!$B$2:$B$49,0)))</f>
        <v/>
      </c>
    </row>
    <row r="16">
      <c r="A16" s="13" t="inlineStr">
        <is>
          <t>TOTAL ERRORS</t>
        </is>
      </c>
      <c r="B16" s="14">
        <f>COUNTIF(B2:E13,"Choice not made!")+COUNTIF(H2:H6,"DID NOT SELECT CORRECT NUMBER")</f>
        <v/>
      </c>
    </row>
    <row r="18">
      <c r="A18" s="15">
        <f>IF(B16=0,"GOOD TO GO!","NOT READY TO SUBMIT (SEE ERRORS ABOVE)")</f>
        <v/>
      </c>
    </row>
    <row r="19"/>
    <row r="20"/>
  </sheetData>
  <mergeCells count="1">
    <mergeCell ref="A18:F20"/>
  </mergeCells>
  <conditionalFormatting sqref="A18:F20">
    <cfRule type="expression" priority="7" dxfId="6">
      <formula>NOT(ISERROR(SEARCH("GOOD TO GO!",A18)))</formula>
    </cfRule>
    <cfRule type="expression" priority="8" dxfId="5">
      <formula>NOT(ISERROR(SEARCH("NOT READY",A18)))</formula>
    </cfRule>
  </conditionalFormatting>
  <conditionalFormatting sqref="B2:E13">
    <cfRule type="cellIs" priority="3" operator="equal" dxfId="1">
      <formula>"Choice not made!"</formula>
    </cfRule>
  </conditionalFormatting>
  <conditionalFormatting sqref="H2:H6">
    <cfRule type="cellIs" priority="4" operator="equal" dxfId="2">
      <formula>"OK"</formula>
    </cfRule>
    <cfRule type="cellIs" priority="5" operator="equal" dxfId="1">
      <formula>"DID NOT SELECT CORRECT NUMBER"</formula>
    </cfRule>
  </conditionalFormatting>
  <conditionalFormatting sqref="H9">
    <cfRule type="expression" priority="1" dxfId="0">
      <formula>"""GOOD TO GO!"""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2026-06-03T12:18:58Z</dcterms:created>
  <dcterms:modified xmlns:dcterms="http://purl.org/dc/terms/" xmlns:xsi="http://www.w3.org/2001/XMLSchema-instance" xsi:type="dcterms:W3CDTF">2026-06-11T00:16:44Z</dcterms:modified>
  <cp:lastModifiedBy>Andrew Lilley</cp:lastModifiedBy>
  <cp:revision>0</cp:revision>
</cp:coreProperties>
</file>