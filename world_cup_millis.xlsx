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8_{53C5649C-35A5-4AB4-BDD8-E6F22EE51F12}" xr6:coauthVersionLast="36" xr6:coauthVersionMax="36" xr10:uidLastSave="{00000000-0000-0000-0000-000000000000}"/>
  <bookViews>
    <workbookView xWindow="0" yWindow="0" windowWidth="24780" windowHeight="12150" activeTab="2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" i="2"/>
  <c r="H5" i="5" l="1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2" i="3"/>
  <c r="B2" i="3"/>
  <c r="I2" i="2"/>
  <c r="I4" i="2"/>
  <c r="C12" i="1"/>
  <c r="C7" i="5" l="1"/>
  <c r="E9" i="5"/>
  <c r="D8" i="5"/>
  <c r="C6" i="5"/>
  <c r="H1" i="5"/>
  <c r="E2" i="5"/>
  <c r="I3" i="2"/>
  <c r="I5" i="2" s="1"/>
  <c r="C3" i="5"/>
  <c r="D6" i="5"/>
  <c r="D3" i="5"/>
  <c r="E6" i="5"/>
  <c r="E3" i="5"/>
  <c r="B7" i="5"/>
  <c r="B4" i="5"/>
  <c r="D7" i="5"/>
  <c r="C4" i="5"/>
  <c r="E7" i="5"/>
  <c r="D4" i="5"/>
  <c r="B8" i="5"/>
  <c r="E4" i="5"/>
  <c r="C8" i="5"/>
  <c r="B5" i="5"/>
  <c r="E8" i="5"/>
  <c r="B2" i="5"/>
  <c r="C5" i="5"/>
  <c r="B9" i="5"/>
  <c r="C2" i="5"/>
  <c r="D5" i="5"/>
  <c r="C9" i="5"/>
  <c r="D2" i="5"/>
  <c r="E5" i="5"/>
  <c r="D9" i="5"/>
  <c r="B6" i="5"/>
  <c r="B3" i="5"/>
  <c r="B12" i="5" l="1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<sst xmlns="http://schemas.openxmlformats.org/spreadsheetml/2006/main" count="232" uniqueCount="98">
  <si>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</si>
  <si>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</si>
  <si>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</si>
  <si>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</si>
  <si>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</si>
  <si>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</si>
  <si>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</si>
  <si>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</si>
  <si>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</si>
  <si>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</si>
  <si>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</si>
  <si>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</si>
  <si>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</si>
  <si>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</si>
  <si>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</si>
  <si>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</si>
  <si>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</si>
  <si>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</si>
  <si>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</si>
  <si>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</si>
  <si>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</si>
  <si>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</si>
  <si>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</si>
  <si>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</si>
  <si>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</si>
  <si>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</si>
  <si>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</si>
  <si>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</si>
  <si>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</si>
  <si>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</si>
  <si>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</si>
  <si>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</si>
  <si>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</si>
  <si>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</si>
  <si>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</si>
  <si>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</si>
  <si>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</si>
  <si>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</si>
  <si>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</si>
  <si>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</si>
  <si>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</si>
  <si>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</si>
  <si>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</si>
  <si>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</si>
  <si>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</si>
  <si>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</si>
  <si>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</si>
  <si>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</si>
  <si>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</si>
  <si>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</si>
  <si>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</si>
  <si>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</si>
  <si>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</si>
  <si>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</si>
  <si>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</si>
  <si>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</si>
  <si>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</si>
  <si>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</si>
  <si>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</si>
  <si>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</si>
  <si>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</si>
  <si>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</si>
  <si>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</si>
  <si>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</si>
  <si>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</si>
  <si>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</si>
  <si>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</si>
  <si>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</si>
  <si>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</si>
  <si>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</si>
  <si>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</si>
  <si>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</si>
  <si>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</si>
  <si>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</si>
  <si>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</si>
  <si>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</si>
  <si>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</si>
  <si>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</si>
  <si>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</si>
  <si>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</si>
  <si>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</si>
  <si>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</si>
  <si>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</si>
  <si>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</si>
  <si>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</si>
  <si>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Mbappe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</si>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</sst>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Source Sans Pro"/>
    </font>
    <font>
      <sz val="10"/>
      <name val="Arial"/>
    </font>
    <font>
      <sz val="12"/>
      <color theme="1"/>
      <name val="Calibri"/>
    </font>
    <font>
      <sz val="16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5"/>
      <color rgb="FF000000"/>
      <name val="Arial"/>
    </font>
    <font>
      <sz val="3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  <xf numFmtId="0" fontId="7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/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17" activePane="bottomLeft" state="frozen"/>
      <selection pane="bottomLeft" activeCell="F30" sqref="F30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1" t="s">
        <v>33</v>
      </c>
      <c r="I1" s="32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39" t="str">
        <f t="shared" ref="F2:F49" si="0">IF(D2&gt;E2,"H",IF(D2&lt;E2,"A","D"))</f>
        <v>A</v>
      </c>
      <c r="H2" s="18" t="s">
        <v>28</v>
      </c>
      <c r="I2" s="18">
        <f>COUNTIF(F2:F49,"H")</f>
        <v>26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2</v>
      </c>
      <c r="E3" s="17">
        <v>1</v>
      </c>
      <c r="F3" s="39" t="str">
        <f t="shared" si="0"/>
        <v>H</v>
      </c>
      <c r="H3" s="18" t="s">
        <v>29</v>
      </c>
      <c r="I3" s="18">
        <f>COUNTIF(F2:F49,"A")</f>
        <v>19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0</v>
      </c>
      <c r="E4" s="17">
        <v>3</v>
      </c>
      <c r="F4" s="39" t="str">
        <f t="shared" si="0"/>
        <v>A</v>
      </c>
      <c r="H4" s="18" t="s">
        <v>40</v>
      </c>
      <c r="I4" s="18">
        <f>COUNTIF(F2:F49,"D")</f>
        <v>3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3</v>
      </c>
      <c r="E5" s="17">
        <v>1</v>
      </c>
      <c r="F5" s="39" t="str">
        <f t="shared" si="0"/>
        <v>H</v>
      </c>
      <c r="H5" s="19" t="s">
        <v>20</v>
      </c>
      <c r="I5" s="19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3</v>
      </c>
      <c r="E6" s="17">
        <v>0</v>
      </c>
      <c r="F6" s="39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3</v>
      </c>
      <c r="E7" s="17">
        <v>1</v>
      </c>
      <c r="F7" s="39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2</v>
      </c>
      <c r="E8" s="17">
        <v>1</v>
      </c>
      <c r="F8" s="39" t="str">
        <f t="shared" si="0"/>
        <v>H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3</v>
      </c>
      <c r="E9" s="17">
        <v>2</v>
      </c>
      <c r="F9" s="39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0</v>
      </c>
      <c r="E10" s="17">
        <v>2</v>
      </c>
      <c r="F10" s="39" t="str">
        <f t="shared" si="0"/>
        <v>A</v>
      </c>
    </row>
    <row r="11" spans="1:9" ht="15.75" customHeight="1" x14ac:dyDescent="0.45">
      <c r="A11" s="14">
        <v>10</v>
      </c>
      <c r="B11" s="20" t="s">
        <v>53</v>
      </c>
      <c r="C11" s="16" t="s">
        <v>54</v>
      </c>
      <c r="D11" s="17">
        <v>3</v>
      </c>
      <c r="E11" s="17">
        <v>2</v>
      </c>
      <c r="F11" s="39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2</v>
      </c>
      <c r="E12" s="17">
        <v>1</v>
      </c>
      <c r="F12" s="39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2</v>
      </c>
      <c r="E13" s="17">
        <v>0</v>
      </c>
      <c r="F13" s="39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2</v>
      </c>
      <c r="E14" s="17">
        <v>0</v>
      </c>
      <c r="F14" s="39" t="str">
        <f t="shared" si="0"/>
        <v>H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2</v>
      </c>
      <c r="E15" s="17">
        <v>1</v>
      </c>
      <c r="F15" s="39" t="str">
        <f t="shared" si="0"/>
        <v>H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3</v>
      </c>
      <c r="E16" s="17">
        <v>1</v>
      </c>
      <c r="F16" s="39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3</v>
      </c>
      <c r="E17" s="17">
        <v>0</v>
      </c>
      <c r="F17" s="39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2</v>
      </c>
      <c r="E18" s="17">
        <v>0</v>
      </c>
      <c r="F18" s="39" t="str">
        <f t="shared" si="0"/>
        <v>H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0</v>
      </c>
      <c r="E19" s="17">
        <v>1</v>
      </c>
      <c r="F19" s="39" t="str">
        <f t="shared" si="0"/>
        <v>A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2</v>
      </c>
      <c r="E20" s="17">
        <v>1</v>
      </c>
      <c r="F20" s="39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2</v>
      </c>
      <c r="E21" s="17">
        <v>2</v>
      </c>
      <c r="F21" s="39" t="str">
        <f t="shared" si="0"/>
        <v>D</v>
      </c>
    </row>
    <row r="22" spans="1:6" ht="15.75" customHeight="1" x14ac:dyDescent="0.45">
      <c r="A22" s="14">
        <v>21</v>
      </c>
      <c r="B22" s="16" t="s">
        <v>46</v>
      </c>
      <c r="C22" s="20" t="s">
        <v>50</v>
      </c>
      <c r="D22" s="17">
        <v>1</v>
      </c>
      <c r="E22" s="17">
        <v>2</v>
      </c>
      <c r="F22" s="39" t="str">
        <f t="shared" si="0"/>
        <v>A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3</v>
      </c>
      <c r="E23" s="17">
        <v>1</v>
      </c>
      <c r="F23" s="39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3</v>
      </c>
      <c r="E24" s="17">
        <v>1</v>
      </c>
      <c r="F24" s="39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3</v>
      </c>
      <c r="E25" s="17">
        <v>1</v>
      </c>
      <c r="F25" s="39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1</v>
      </c>
      <c r="F26" s="39" t="str">
        <f t="shared" si="0"/>
        <v>D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2</v>
      </c>
      <c r="E27" s="17">
        <v>0</v>
      </c>
      <c r="F27" s="39" t="str">
        <f t="shared" si="0"/>
        <v>H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2</v>
      </c>
      <c r="E28" s="17">
        <v>0</v>
      </c>
      <c r="F28" s="39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2</v>
      </c>
      <c r="E29" s="17">
        <v>2</v>
      </c>
      <c r="F29" s="39" t="str">
        <f t="shared" si="0"/>
        <v>D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0</v>
      </c>
      <c r="E30" s="17">
        <v>1</v>
      </c>
      <c r="F30" s="39" t="str">
        <f t="shared" si="0"/>
        <v>A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1</v>
      </c>
      <c r="E31" s="17">
        <v>0</v>
      </c>
      <c r="F31" s="39" t="str">
        <f t="shared" si="0"/>
        <v>H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3</v>
      </c>
      <c r="E32" s="17">
        <v>1</v>
      </c>
      <c r="F32" s="39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3</v>
      </c>
      <c r="E33" s="17">
        <v>2</v>
      </c>
      <c r="F33" s="39" t="str">
        <f t="shared" si="0"/>
        <v>H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2</v>
      </c>
      <c r="E34" s="17">
        <v>1</v>
      </c>
      <c r="F34" s="39" t="str">
        <f t="shared" si="0"/>
        <v>H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2</v>
      </c>
      <c r="E35" s="17">
        <v>0</v>
      </c>
      <c r="F35" s="39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0</v>
      </c>
      <c r="E36" s="17">
        <v>2</v>
      </c>
      <c r="F36" s="39" t="str">
        <f t="shared" si="0"/>
        <v>A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2</v>
      </c>
      <c r="E37" s="17">
        <v>3</v>
      </c>
      <c r="F37" s="39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0</v>
      </c>
      <c r="E38" s="17">
        <v>3</v>
      </c>
      <c r="F38" s="39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2</v>
      </c>
      <c r="E39" s="17">
        <v>1</v>
      </c>
      <c r="F39" s="39" t="str">
        <f t="shared" si="0"/>
        <v>H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1</v>
      </c>
      <c r="E40" s="17">
        <v>3</v>
      </c>
      <c r="F40" s="39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0</v>
      </c>
      <c r="E41" s="17">
        <v>2</v>
      </c>
      <c r="F41" s="39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1</v>
      </c>
      <c r="E42" s="17">
        <v>2</v>
      </c>
      <c r="F42" s="39" t="str">
        <f t="shared" si="0"/>
        <v>A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0</v>
      </c>
      <c r="E43" s="17">
        <v>1</v>
      </c>
      <c r="F43" s="39" t="str">
        <f t="shared" si="0"/>
        <v>A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1</v>
      </c>
      <c r="E44" s="17">
        <v>2</v>
      </c>
      <c r="F44" s="39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2</v>
      </c>
      <c r="E45" s="17">
        <v>3</v>
      </c>
      <c r="F45" s="39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1</v>
      </c>
      <c r="E46" s="17">
        <v>3</v>
      </c>
      <c r="F46" s="39" t="str">
        <f t="shared" si="0"/>
        <v>A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3</v>
      </c>
      <c r="F47" s="39" t="str">
        <f t="shared" si="0"/>
        <v>A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1</v>
      </c>
      <c r="E48" s="17">
        <v>2</v>
      </c>
      <c r="F48" s="39" t="str">
        <f t="shared" si="0"/>
        <v>A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0</v>
      </c>
      <c r="E49" s="17">
        <v>3</v>
      </c>
      <c r="F49" s="39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tabSelected="1" workbookViewId="0">
      <pane ySplit="1" topLeftCell="A2" activePane="bottomLeft" state="frozen"/>
      <selection pane="bottomLeft" activeCell="G30" sqref="G30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1">
        <v>4</v>
      </c>
      <c r="E2" s="22" t="str">
        <f t="shared" ref="E2:E33" si="1">IF(D2&lt;3,1,"")</f>
        <v/>
      </c>
      <c r="F2" s="21"/>
      <c r="G2" s="21"/>
      <c r="H2" s="21"/>
      <c r="I2" s="21"/>
    </row>
    <row r="3" spans="1:9" ht="15.75" customHeight="1" x14ac:dyDescent="0.45">
      <c r="A3" s="15" t="s">
        <v>35</v>
      </c>
      <c r="B3" s="14" t="str">
        <f t="shared" si="0"/>
        <v>A3</v>
      </c>
      <c r="C3" s="14" t="s">
        <v>76</v>
      </c>
      <c r="D3" s="21">
        <v>3</v>
      </c>
      <c r="E3" s="22" t="str">
        <f t="shared" si="1"/>
        <v/>
      </c>
      <c r="F3" s="21"/>
      <c r="G3" s="21"/>
      <c r="H3" s="21"/>
      <c r="I3" s="21"/>
    </row>
    <row r="4" spans="1:9" ht="15.75" customHeight="1" x14ac:dyDescent="0.45">
      <c r="A4" s="15" t="s">
        <v>38</v>
      </c>
      <c r="B4" s="14" t="str">
        <f t="shared" si="0"/>
        <v>A2</v>
      </c>
      <c r="C4" s="14" t="s">
        <v>76</v>
      </c>
      <c r="D4" s="21">
        <v>2</v>
      </c>
      <c r="E4" s="22">
        <f t="shared" si="1"/>
        <v>1</v>
      </c>
      <c r="F4" s="21"/>
      <c r="G4" s="21"/>
      <c r="H4" s="21"/>
      <c r="I4" s="21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1">
        <v>1</v>
      </c>
      <c r="E5" s="22">
        <f t="shared" si="1"/>
        <v>1</v>
      </c>
      <c r="F5" s="21"/>
      <c r="G5" s="21"/>
      <c r="H5" s="21"/>
      <c r="I5" s="21"/>
    </row>
    <row r="6" spans="1:9" ht="15.75" customHeight="1" x14ac:dyDescent="0.45">
      <c r="A6" s="15" t="s">
        <v>36</v>
      </c>
      <c r="B6" s="14" t="str">
        <f t="shared" si="0"/>
        <v>B2</v>
      </c>
      <c r="C6" s="14" t="s">
        <v>77</v>
      </c>
      <c r="D6" s="21">
        <v>2</v>
      </c>
      <c r="E6" s="22">
        <f t="shared" si="1"/>
        <v>1</v>
      </c>
      <c r="F6" s="21"/>
      <c r="G6" s="21"/>
      <c r="H6" s="21"/>
      <c r="I6" s="21"/>
    </row>
    <row r="7" spans="1:9" ht="15.75" customHeight="1" x14ac:dyDescent="0.45">
      <c r="A7" s="15" t="s">
        <v>37</v>
      </c>
      <c r="B7" s="14" t="str">
        <f t="shared" si="0"/>
        <v>B4</v>
      </c>
      <c r="C7" s="14" t="s">
        <v>77</v>
      </c>
      <c r="D7" s="21">
        <v>4</v>
      </c>
      <c r="E7" s="22" t="str">
        <f t="shared" si="1"/>
        <v/>
      </c>
      <c r="F7" s="21"/>
      <c r="G7" s="21"/>
      <c r="H7" s="21"/>
      <c r="I7" s="21"/>
    </row>
    <row r="8" spans="1:9" ht="15.75" customHeight="1" x14ac:dyDescent="0.45">
      <c r="A8" s="15" t="s">
        <v>41</v>
      </c>
      <c r="B8" s="14" t="str">
        <f t="shared" si="0"/>
        <v>B1</v>
      </c>
      <c r="C8" s="14" t="s">
        <v>77</v>
      </c>
      <c r="D8" s="21">
        <v>1</v>
      </c>
      <c r="E8" s="22">
        <f t="shared" si="1"/>
        <v>1</v>
      </c>
      <c r="F8" s="21"/>
      <c r="G8" s="21"/>
      <c r="H8" s="21"/>
      <c r="I8" s="21"/>
    </row>
    <row r="9" spans="1:9" ht="15.75" customHeight="1" x14ac:dyDescent="0.45">
      <c r="A9" s="15" t="s">
        <v>42</v>
      </c>
      <c r="B9" s="14" t="str">
        <f t="shared" si="0"/>
        <v>B3</v>
      </c>
      <c r="C9" s="14" t="s">
        <v>77</v>
      </c>
      <c r="D9" s="21">
        <v>3</v>
      </c>
      <c r="E9" s="22" t="str">
        <f t="shared" si="1"/>
        <v/>
      </c>
      <c r="F9" s="21"/>
      <c r="G9" s="21"/>
      <c r="H9" s="21"/>
      <c r="I9" s="21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1">
        <v>1</v>
      </c>
      <c r="E10" s="22">
        <f t="shared" si="1"/>
        <v>1</v>
      </c>
      <c r="F10" s="21">
        <v>1</v>
      </c>
      <c r="G10" s="21">
        <v>1</v>
      </c>
      <c r="H10" s="21"/>
      <c r="I10" s="21"/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1">
        <v>4</v>
      </c>
      <c r="E11" s="22" t="str">
        <f t="shared" si="1"/>
        <v/>
      </c>
      <c r="F11" s="21"/>
      <c r="G11" s="21"/>
      <c r="H11" s="21"/>
      <c r="I11" s="21"/>
    </row>
    <row r="12" spans="1:9" ht="15.75" customHeight="1" x14ac:dyDescent="0.45">
      <c r="A12" s="15" t="s">
        <v>47</v>
      </c>
      <c r="B12" s="14" t="str">
        <f t="shared" si="0"/>
        <v>C2</v>
      </c>
      <c r="C12" s="14" t="s">
        <v>78</v>
      </c>
      <c r="D12" s="21">
        <v>2</v>
      </c>
      <c r="E12" s="22">
        <f t="shared" si="1"/>
        <v>1</v>
      </c>
      <c r="F12" s="21">
        <v>1</v>
      </c>
      <c r="G12" s="21"/>
      <c r="H12" s="21"/>
      <c r="I12" s="21"/>
    </row>
    <row r="13" spans="1:9" ht="15.75" customHeight="1" x14ac:dyDescent="0.45">
      <c r="A13" s="15" t="s">
        <v>48</v>
      </c>
      <c r="B13" s="14" t="str">
        <f t="shared" si="0"/>
        <v>C3</v>
      </c>
      <c r="C13" s="14" t="s">
        <v>78</v>
      </c>
      <c r="D13" s="21">
        <v>3</v>
      </c>
      <c r="E13" s="22" t="str">
        <f t="shared" si="1"/>
        <v/>
      </c>
      <c r="F13" s="21"/>
      <c r="G13" s="21"/>
      <c r="H13" s="21"/>
      <c r="I13" s="21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1">
        <v>1</v>
      </c>
      <c r="E14" s="22">
        <f t="shared" si="1"/>
        <v>1</v>
      </c>
      <c r="F14" s="21">
        <v>1</v>
      </c>
      <c r="G14" s="21">
        <v>1</v>
      </c>
      <c r="H14" s="21">
        <v>1</v>
      </c>
      <c r="I14" s="21">
        <v>1</v>
      </c>
    </row>
    <row r="15" spans="1:9" ht="15.75" customHeight="1" x14ac:dyDescent="0.45">
      <c r="A15" s="15" t="s">
        <v>50</v>
      </c>
      <c r="B15" s="14" t="str">
        <f t="shared" si="0"/>
        <v>D2</v>
      </c>
      <c r="C15" s="14" t="s">
        <v>79</v>
      </c>
      <c r="D15" s="21">
        <v>2</v>
      </c>
      <c r="E15" s="22">
        <f t="shared" si="1"/>
        <v>1</v>
      </c>
      <c r="F15" s="21">
        <v>1</v>
      </c>
      <c r="G15" s="21"/>
      <c r="H15" s="21"/>
      <c r="I15" s="21"/>
    </row>
    <row r="16" spans="1:9" ht="15.75" customHeight="1" x14ac:dyDescent="0.45">
      <c r="A16" s="15" t="s">
        <v>45</v>
      </c>
      <c r="B16" s="14" t="str">
        <f t="shared" si="0"/>
        <v>D3</v>
      </c>
      <c r="C16" s="14" t="s">
        <v>79</v>
      </c>
      <c r="D16" s="21">
        <v>3</v>
      </c>
      <c r="E16" s="22" t="str">
        <f t="shared" si="1"/>
        <v/>
      </c>
      <c r="F16" s="21"/>
      <c r="G16" s="21"/>
      <c r="H16" s="21"/>
      <c r="I16" s="21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1">
        <v>4</v>
      </c>
      <c r="E17" s="22" t="str">
        <f t="shared" si="1"/>
        <v/>
      </c>
      <c r="F17" s="21"/>
      <c r="G17" s="21"/>
      <c r="H17" s="21"/>
      <c r="I17" s="21"/>
    </row>
    <row r="18" spans="1:9" ht="15.75" customHeight="1" x14ac:dyDescent="0.45">
      <c r="A18" s="15" t="s">
        <v>55</v>
      </c>
      <c r="B18" s="14" t="str">
        <f t="shared" si="0"/>
        <v>E1</v>
      </c>
      <c r="C18" s="14" t="s">
        <v>80</v>
      </c>
      <c r="D18" s="21">
        <v>1</v>
      </c>
      <c r="E18" s="22">
        <f t="shared" si="1"/>
        <v>1</v>
      </c>
      <c r="F18" s="21">
        <v>1</v>
      </c>
      <c r="G18" s="21"/>
      <c r="H18" s="21"/>
      <c r="I18" s="21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1">
        <v>4</v>
      </c>
      <c r="E19" s="22" t="str">
        <f t="shared" si="1"/>
        <v/>
      </c>
      <c r="F19" s="21"/>
      <c r="G19" s="21"/>
      <c r="H19" s="21"/>
      <c r="I19" s="21"/>
    </row>
    <row r="20" spans="1:9" ht="15.75" customHeight="1" x14ac:dyDescent="0.45">
      <c r="A20" s="15" t="s">
        <v>53</v>
      </c>
      <c r="B20" s="14" t="str">
        <f t="shared" si="0"/>
        <v>E2</v>
      </c>
      <c r="C20" s="14" t="s">
        <v>80</v>
      </c>
      <c r="D20" s="21">
        <v>2</v>
      </c>
      <c r="E20" s="22">
        <f t="shared" si="1"/>
        <v>1</v>
      </c>
      <c r="F20" s="21">
        <v>1</v>
      </c>
      <c r="G20" s="21"/>
      <c r="H20" s="21"/>
      <c r="I20" s="21"/>
    </row>
    <row r="21" spans="1:9" ht="15.75" customHeight="1" x14ac:dyDescent="0.45">
      <c r="A21" s="15" t="s">
        <v>54</v>
      </c>
      <c r="B21" s="14" t="str">
        <f t="shared" si="0"/>
        <v>E3</v>
      </c>
      <c r="C21" s="14" t="s">
        <v>80</v>
      </c>
      <c r="D21" s="21">
        <v>3</v>
      </c>
      <c r="E21" s="22" t="str">
        <f t="shared" si="1"/>
        <v/>
      </c>
      <c r="F21" s="21"/>
      <c r="G21" s="21"/>
      <c r="H21" s="21"/>
      <c r="I21" s="21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1">
        <v>1</v>
      </c>
      <c r="E22" s="22">
        <f t="shared" si="1"/>
        <v>1</v>
      </c>
      <c r="F22" s="21"/>
      <c r="G22" s="21"/>
      <c r="H22" s="21"/>
      <c r="I22" s="21"/>
    </row>
    <row r="23" spans="1:9" ht="15.75" customHeight="1" x14ac:dyDescent="0.45">
      <c r="A23" s="15" t="s">
        <v>58</v>
      </c>
      <c r="B23" s="14" t="str">
        <f t="shared" si="0"/>
        <v>F3</v>
      </c>
      <c r="C23" s="14" t="s">
        <v>81</v>
      </c>
      <c r="D23" s="21">
        <v>3</v>
      </c>
      <c r="E23" s="22" t="str">
        <f t="shared" si="1"/>
        <v/>
      </c>
      <c r="F23" s="21"/>
      <c r="G23" s="21"/>
      <c r="H23" s="21"/>
      <c r="I23" s="21"/>
    </row>
    <row r="24" spans="1:9" ht="15.75" customHeight="1" x14ac:dyDescent="0.45">
      <c r="A24" s="15" t="s">
        <v>51</v>
      </c>
      <c r="B24" s="14" t="str">
        <f t="shared" si="0"/>
        <v>F4</v>
      </c>
      <c r="C24" s="14" t="s">
        <v>81</v>
      </c>
      <c r="D24" s="21">
        <v>4</v>
      </c>
      <c r="E24" s="22" t="str">
        <f t="shared" si="1"/>
        <v/>
      </c>
      <c r="F24" s="21"/>
      <c r="G24" s="21"/>
      <c r="H24" s="21"/>
      <c r="I24" s="21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1">
        <v>2</v>
      </c>
      <c r="E25" s="22">
        <f t="shared" si="1"/>
        <v>1</v>
      </c>
      <c r="F25" s="21"/>
      <c r="G25" s="21"/>
      <c r="H25" s="21"/>
      <c r="I25" s="21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1">
        <v>1</v>
      </c>
      <c r="E26" s="22">
        <f t="shared" si="1"/>
        <v>1</v>
      </c>
      <c r="F26" s="21">
        <v>1</v>
      </c>
      <c r="G26" s="21">
        <v>1</v>
      </c>
      <c r="H26" s="21">
        <v>1</v>
      </c>
      <c r="I26" s="21"/>
    </row>
    <row r="27" spans="1:9" ht="15.75" customHeight="1" x14ac:dyDescent="0.45">
      <c r="A27" s="15" t="s">
        <v>66</v>
      </c>
      <c r="B27" s="14" t="str">
        <f t="shared" si="0"/>
        <v>G2</v>
      </c>
      <c r="C27" s="14" t="s">
        <v>82</v>
      </c>
      <c r="D27" s="21">
        <v>2</v>
      </c>
      <c r="E27" s="22">
        <f t="shared" si="1"/>
        <v>1</v>
      </c>
      <c r="F27" s="21"/>
      <c r="G27" s="21"/>
      <c r="H27" s="21"/>
      <c r="I27" s="21"/>
    </row>
    <row r="28" spans="1:9" ht="15.75" customHeight="1" x14ac:dyDescent="0.45">
      <c r="A28" s="15" t="s">
        <v>59</v>
      </c>
      <c r="B28" s="14" t="str">
        <f t="shared" si="0"/>
        <v>G3</v>
      </c>
      <c r="C28" s="14" t="s">
        <v>82</v>
      </c>
      <c r="D28" s="21">
        <v>3</v>
      </c>
      <c r="E28" s="22" t="str">
        <f t="shared" si="1"/>
        <v/>
      </c>
      <c r="F28" s="23"/>
      <c r="G28" s="21"/>
      <c r="H28" s="21"/>
      <c r="I28" s="21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1">
        <v>4</v>
      </c>
      <c r="E29" s="22" t="str">
        <f t="shared" si="1"/>
        <v/>
      </c>
      <c r="F29" s="21"/>
      <c r="G29" s="21"/>
      <c r="H29" s="21"/>
      <c r="I29" s="21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1">
        <v>1</v>
      </c>
      <c r="E30" s="22">
        <f t="shared" si="1"/>
        <v>1</v>
      </c>
      <c r="F30" s="21">
        <v>1</v>
      </c>
      <c r="G30" s="21">
        <v>1</v>
      </c>
      <c r="H30" s="21"/>
      <c r="I30" s="21"/>
    </row>
    <row r="31" spans="1:9" ht="15.75" customHeight="1" x14ac:dyDescent="0.45">
      <c r="A31" s="15" t="s">
        <v>64</v>
      </c>
      <c r="B31" s="14" t="str">
        <f t="shared" si="0"/>
        <v>H4</v>
      </c>
      <c r="C31" s="14" t="s">
        <v>83</v>
      </c>
      <c r="D31" s="21">
        <v>4</v>
      </c>
      <c r="E31" s="22" t="str">
        <f t="shared" si="1"/>
        <v/>
      </c>
      <c r="F31" s="21"/>
      <c r="G31" s="21"/>
      <c r="H31" s="21"/>
      <c r="I31" s="21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1">
        <v>2</v>
      </c>
      <c r="E32" s="22">
        <f t="shared" si="1"/>
        <v>1</v>
      </c>
      <c r="F32" s="21"/>
      <c r="G32" s="21"/>
      <c r="H32" s="21"/>
      <c r="I32" s="21"/>
    </row>
    <row r="33" spans="1:9" ht="15.75" customHeight="1" x14ac:dyDescent="0.45">
      <c r="A33" s="15" t="s">
        <v>62</v>
      </c>
      <c r="B33" s="14" t="str">
        <f t="shared" si="0"/>
        <v>H3</v>
      </c>
      <c r="C33" s="14" t="s">
        <v>83</v>
      </c>
      <c r="D33" s="21">
        <v>3</v>
      </c>
      <c r="E33" s="22" t="str">
        <f t="shared" si="1"/>
        <v/>
      </c>
      <c r="F33" s="21"/>
      <c r="G33" s="21"/>
      <c r="H33" s="21"/>
      <c r="I33" s="21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A46" sqref="A46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4" t="s">
        <v>84</v>
      </c>
      <c r="B1" s="25" t="s">
        <v>85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6" t="s">
        <v>86</v>
      </c>
      <c r="B1" s="26">
        <v>1</v>
      </c>
      <c r="C1" s="27">
        <v>2</v>
      </c>
      <c r="D1" s="27">
        <v>3</v>
      </c>
      <c r="E1" s="27">
        <v>4</v>
      </c>
      <c r="G1" s="28" t="s">
        <v>87</v>
      </c>
      <c r="H1" s="29" t="str">
        <f>IF(SUM('Elimination Rounds'!E2:E33)=16,"OK","DID NOT SELECT CORRECT NUMBER")</f>
        <v>OK</v>
      </c>
      <c r="I1" s="28" t="s">
        <v>88</v>
      </c>
    </row>
    <row r="2" spans="1:9" ht="12.75" customHeight="1" x14ac:dyDescent="0.3">
      <c r="A2" s="26" t="s">
        <v>76</v>
      </c>
      <c r="B2" s="29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29" t="str">
        <f ca="1">IF(ISNA(OFFSET('Elimination Rounds'!$A$1,MATCH($A2&amp;C$1,'Elimination Rounds'!$B$2:$B$33,0),0)),"Choice not made!",OFFSET('Elimination Rounds'!$A$1,MATCH($A2&amp;C$1,'Elimination Rounds'!$B$2:$B$33,0),0))</f>
        <v>Senegal</v>
      </c>
      <c r="D2" s="29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29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8" t="s">
        <v>89</v>
      </c>
      <c r="H2" s="29" t="str">
        <f>IF(SUM('Elimination Rounds'!F2:F33)=8,"OK","DID NOT SELECT CORRECT NUMBER")</f>
        <v>OK</v>
      </c>
      <c r="I2" s="28" t="s">
        <v>90</v>
      </c>
    </row>
    <row r="3" spans="1:9" ht="12.75" customHeight="1" x14ac:dyDescent="0.3">
      <c r="A3" s="26" t="s">
        <v>77</v>
      </c>
      <c r="B3" s="29" t="str">
        <f ca="1">IF(ISNA(OFFSET('Elimination Rounds'!$A$1,MATCH($A3&amp;B$1,'Elimination Rounds'!$B$2:$B$33,0),0)),"Choice not made!",OFFSET('Elimination Rounds'!$A$1,MATCH($A3&amp;B$1,'Elimination Rounds'!$B$2:$B$33,0),0))</f>
        <v>USA</v>
      </c>
      <c r="C3" s="29" t="str">
        <f ca="1">IF(ISNA(OFFSET('Elimination Rounds'!$A$1,MATCH($A3&amp;C$1,'Elimination Rounds'!$B$2:$B$33,0),0)),"Choice not made!",OFFSET('Elimination Rounds'!$A$1,MATCH($A3&amp;C$1,'Elimination Rounds'!$B$2:$B$33,0),0))</f>
        <v>England</v>
      </c>
      <c r="D3" s="29" t="str">
        <f ca="1">IF(ISNA(OFFSET('Elimination Rounds'!$A$1,MATCH($A3&amp;D$1,'Elimination Rounds'!$B$2:$B$33,0),0)),"Choice not made!",OFFSET('Elimination Rounds'!$A$1,MATCH($A3&amp;D$1,'Elimination Rounds'!$B$2:$B$33,0),0))</f>
        <v>Wales</v>
      </c>
      <c r="E3" s="29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8" t="s">
        <v>91</v>
      </c>
      <c r="H3" s="29" t="str">
        <f>IF(SUM('Elimination Rounds'!G2:G33)=4,"OK","DID NOT SELECT CORRECT NUMBER")</f>
        <v>OK</v>
      </c>
      <c r="I3" s="28" t="s">
        <v>92</v>
      </c>
    </row>
    <row r="4" spans="1:9" ht="12.75" customHeight="1" x14ac:dyDescent="0.3">
      <c r="A4" s="26" t="s">
        <v>78</v>
      </c>
      <c r="B4" s="29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29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29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29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8" t="s">
        <v>93</v>
      </c>
      <c r="H4" s="29" t="str">
        <f>IF(SUM('Elimination Rounds'!H2:H33)=2,"OK","DID NOT SELECT CORRECT NUMBER")</f>
        <v>OK</v>
      </c>
      <c r="I4" s="28" t="s">
        <v>94</v>
      </c>
    </row>
    <row r="5" spans="1:9" ht="12.75" customHeight="1" x14ac:dyDescent="0.3">
      <c r="A5" s="26" t="s">
        <v>79</v>
      </c>
      <c r="B5" s="29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29" t="str">
        <f ca="1">IF(ISNA(OFFSET('Elimination Rounds'!$A$1,MATCH($A5&amp;C$1,'Elimination Rounds'!$B$2:$B$33,0),0)),"Choice not made!",OFFSET('Elimination Rounds'!$A$1,MATCH($A5&amp;C$1,'Elimination Rounds'!$B$2:$B$33,0),0))</f>
        <v>Australia</v>
      </c>
      <c r="D5" s="29" t="str">
        <f ca="1">IF(ISNA(OFFSET('Elimination Rounds'!$A$1,MATCH($A5&amp;D$1,'Elimination Rounds'!$B$2:$B$33,0),0)),"Choice not made!",OFFSET('Elimination Rounds'!$A$1,MATCH($A5&amp;D$1,'Elimination Rounds'!$B$2:$B$33,0),0))</f>
        <v>Denmark</v>
      </c>
      <c r="E5" s="29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8" t="s">
        <v>95</v>
      </c>
      <c r="H5" s="29" t="str">
        <f>IF(SUM('Elimination Rounds'!I2:I33)=1,"OK","DID NOT SELECT CORRECT NUMBER")</f>
        <v>OK</v>
      </c>
      <c r="I5" s="28" t="s">
        <v>96</v>
      </c>
    </row>
    <row r="6" spans="1:9" ht="12.75" customHeight="1" x14ac:dyDescent="0.3">
      <c r="A6" s="26" t="s">
        <v>80</v>
      </c>
      <c r="B6" s="29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29" t="str">
        <f ca="1">IF(ISNA(OFFSET('Elimination Rounds'!$A$1,MATCH($A6&amp;C$1,'Elimination Rounds'!$B$2:$B$33,0),0)),"Choice not made!",OFFSET('Elimination Rounds'!$A$1,MATCH($A6&amp;C$1,'Elimination Rounds'!$B$2:$B$33,0),0))</f>
        <v>Germany</v>
      </c>
      <c r="D6" s="29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29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6" t="s">
        <v>81</v>
      </c>
      <c r="B7" s="29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29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29" t="str">
        <f ca="1">IF(ISNA(OFFSET('Elimination Rounds'!$A$1,MATCH($A7&amp;D$1,'Elimination Rounds'!$B$2:$B$33,0),0)),"Choice not made!",OFFSET('Elimination Rounds'!$A$1,MATCH($A7&amp;D$1,'Elimination Rounds'!$B$2:$B$33,0),0))</f>
        <v>Canada</v>
      </c>
      <c r="E7" s="29" t="str">
        <f ca="1">IF(ISNA(OFFSET('Elimination Rounds'!$A$1,MATCH($A7&amp;E$1,'Elimination Rounds'!$B$2:$B$33,0),0)),"Choice not made!",OFFSET('Elimination Rounds'!$A$1,MATCH($A7&amp;E$1,'Elimination Rounds'!$B$2:$B$33,0),0))</f>
        <v>Morocco</v>
      </c>
    </row>
    <row r="8" spans="1:9" ht="12.75" customHeight="1" x14ac:dyDescent="0.3">
      <c r="A8" s="26" t="s">
        <v>82</v>
      </c>
      <c r="B8" s="29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29" t="str">
        <f ca="1">IF(ISNA(OFFSET('Elimination Rounds'!$A$1,MATCH($A8&amp;C$1,'Elimination Rounds'!$B$2:$B$33,0),0)),"Choice not made!",OFFSET('Elimination Rounds'!$A$1,MATCH($A8&amp;C$1,'Elimination Rounds'!$B$2:$B$33,0),0))</f>
        <v>Serbia</v>
      </c>
      <c r="D8" s="29" t="str">
        <f ca="1">IF(ISNA(OFFSET('Elimination Rounds'!$A$1,MATCH($A8&amp;D$1,'Elimination Rounds'!$B$2:$B$33,0),0)),"Choice not made!",OFFSET('Elimination Rounds'!$A$1,MATCH($A8&amp;D$1,'Elimination Rounds'!$B$2:$B$33,0),0))</f>
        <v>Switzerland</v>
      </c>
      <c r="E8" s="29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6" t="s">
        <v>83</v>
      </c>
      <c r="B9" s="29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29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29" t="str">
        <f ca="1">IF(ISNA(OFFSET('Elimination Rounds'!$A$1,MATCH($A9&amp;D$1,'Elimination Rounds'!$B$2:$B$33,0),0)),"Choice not made!",OFFSET('Elimination Rounds'!$A$1,MATCH($A9&amp;D$1,'Elimination Rounds'!$B$2:$B$33,0),0))</f>
        <v>South Korea</v>
      </c>
      <c r="E9" s="29" t="str">
        <f ca="1">IF(ISNA(OFFSET('Elimination Rounds'!$A$1,MATCH($A9&amp;E$1,'Elimination Rounds'!$B$2:$B$33,0),0)),"Choice not made!",OFFSET('Elimination Rounds'!$A$1,MATCH($A9&amp;E$1,'Elimination Rounds'!$B$2:$B$33,0),0))</f>
        <v>Ghana</v>
      </c>
    </row>
    <row r="10" spans="1:9" ht="12.75" customHeight="1" x14ac:dyDescent="0.3">
      <c r="A10" s="30"/>
      <c r="B10" s="30"/>
      <c r="C10" s="30"/>
      <c r="D10" s="30"/>
      <c r="E10" s="30"/>
    </row>
    <row r="11" spans="1:9" ht="12.75" customHeight="1" x14ac:dyDescent="0.3">
      <c r="C11" s="30"/>
      <c r="D11" s="30"/>
      <c r="E11" s="30"/>
    </row>
    <row r="12" spans="1:9" ht="12.75" customHeight="1" x14ac:dyDescent="0.3">
      <c r="A12" s="33" t="s">
        <v>97</v>
      </c>
      <c r="B12" s="36">
        <f ca="1">COUNTIF(B2:E9,"Choice not made!")+COUNTIF(H1:H5,"DID NOT SELECT CORRECT NUMBER")</f>
        <v>0</v>
      </c>
      <c r="C12" s="30"/>
      <c r="D12" s="30"/>
      <c r="E12" s="30"/>
    </row>
    <row r="13" spans="1:9" ht="12.75" customHeight="1" x14ac:dyDescent="0.3">
      <c r="A13" s="34"/>
      <c r="B13" s="34"/>
      <c r="C13" s="30"/>
      <c r="D13" s="30"/>
      <c r="E13" s="30"/>
    </row>
    <row r="14" spans="1:9" ht="12.75" customHeight="1" x14ac:dyDescent="0.3">
      <c r="A14" s="35"/>
      <c r="B14" s="35"/>
      <c r="C14" s="30"/>
      <c r="D14" s="30"/>
      <c r="E14" s="30"/>
    </row>
    <row r="15" spans="1:9" ht="12.75" customHeight="1" x14ac:dyDescent="0.3">
      <c r="C15" s="30"/>
      <c r="D15" s="30"/>
      <c r="E15" s="30"/>
    </row>
    <row r="16" spans="1:9" ht="12.75" customHeight="1" x14ac:dyDescent="0.25"/>
    <row r="17" spans="1:6" ht="12.75" customHeight="1" x14ac:dyDescent="0.25">
      <c r="A17" s="37" t="str">
        <f ca="1">IF(B12=0,"GOOD TO GO!","NOT READY TO SUBMIT (SEE ERRORS ABOVE)")</f>
        <v>GOOD TO GO!</v>
      </c>
      <c r="B17" s="38"/>
      <c r="C17" s="38"/>
      <c r="D17" s="38"/>
      <c r="E17" s="38"/>
      <c r="F17" s="38"/>
    </row>
    <row r="18" spans="1:6" ht="12.75" customHeight="1" x14ac:dyDescent="0.25">
      <c r="A18" s="38"/>
      <c r="B18" s="38"/>
      <c r="C18" s="38"/>
      <c r="D18" s="38"/>
      <c r="E18" s="38"/>
      <c r="F18" s="38"/>
    </row>
    <row r="19" spans="1:6" ht="12.75" customHeight="1" x14ac:dyDescent="0.25">
      <c r="A19" s="38"/>
      <c r="B19" s="38"/>
      <c r="C19" s="38"/>
      <c r="D19" s="38"/>
      <c r="E19" s="38"/>
      <c r="F19" s="38"/>
    </row>
    <row r="20" spans="1:6" ht="12.75" customHeight="1" x14ac:dyDescent="0.25">
      <c r="A20" s="38"/>
      <c r="B20" s="38"/>
      <c r="C20" s="38"/>
      <c r="D20" s="38"/>
      <c r="E20" s="38"/>
      <c r="F20" s="38"/>
    </row>
    <row r="21" spans="1:6" ht="12.75" customHeight="1" x14ac:dyDescent="0.25">
      <c r="A21" s="38"/>
      <c r="B21" s="38"/>
      <c r="C21" s="38"/>
      <c r="D21" s="38"/>
      <c r="E21" s="38"/>
      <c r="F21" s="38"/>
    </row>
    <row r="22" spans="1:6" ht="12.75" customHeight="1" x14ac:dyDescent="0.25">
      <c r="A22" s="38"/>
      <c r="B22" s="38"/>
      <c r="C22" s="38"/>
      <c r="D22" s="38"/>
      <c r="E22" s="38"/>
      <c r="F22" s="38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Milis</dc:creator>
  <cp:lastModifiedBy>Admin</cp:lastModifiedBy>
  <dcterms:created xsi:type="dcterms:W3CDTF">2022-11-21T05:09:29Z</dcterms:created>
  <dcterms:modified xsi:type="dcterms:W3CDTF">2022-11-21T05:27:08Z</dcterms:modified>
</cp:coreProperties>
</file>