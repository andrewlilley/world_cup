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927F51F8-3D75-4551-9A52-B0095A2D9AD9}" xr6:coauthVersionLast="36" xr6:coauthVersionMax="47" xr10:uidLastSave="{00000000-0000-0000-0000-000000000000}"/>
  <bookViews>
    <workbookView xWindow="38290" yWindow="1850" windowWidth="22780" windowHeight="14660" activeTab="2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H5" i="5" l="1"/>
  <c r="H4" i="5"/>
  <c r="H3" i="5"/>
  <c r="H2" i="5"/>
  <c r="D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D9" i="5" s="1"/>
  <c r="B4" i="3"/>
  <c r="H1" i="5"/>
  <c r="B3" i="3"/>
  <c r="E2" i="3"/>
  <c r="B2" i="3"/>
  <c r="C8" i="5" s="1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I4" i="2" l="1"/>
  <c r="I3" i="2"/>
  <c r="I2" i="2"/>
  <c r="B4" i="5"/>
  <c r="D7" i="5"/>
  <c r="D4" i="5"/>
  <c r="B8" i="5"/>
  <c r="C3" i="5"/>
  <c r="D6" i="5"/>
  <c r="D8" i="5"/>
  <c r="E5" i="5"/>
  <c r="D3" i="5"/>
  <c r="B5" i="5"/>
  <c r="E6" i="5"/>
  <c r="E8" i="5"/>
  <c r="B2" i="5"/>
  <c r="E3" i="5"/>
  <c r="C5" i="5"/>
  <c r="B7" i="5"/>
  <c r="B9" i="5"/>
  <c r="C2" i="5"/>
  <c r="D5" i="5"/>
  <c r="C7" i="5"/>
  <c r="C9" i="5"/>
  <c r="E2" i="5"/>
  <c r="C4" i="5"/>
  <c r="E7" i="5"/>
  <c r="E9" i="5"/>
  <c r="B6" i="5"/>
  <c r="B3" i="5"/>
  <c r="E4" i="5"/>
  <c r="C6" i="5"/>
  <c r="I5" i="2" l="1"/>
  <c r="B12" i="5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<sst xmlns="http://schemas.openxmlformats.org/spreadsheetml/2006/main" count="232" uniqueCount="98">
  <si>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</si>
  <si>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</si>
  <si>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</si>
  <si>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</si>
  <si>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</si>
  <si>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</si>
  <si>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</si>
  <si>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</si>
  <si>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</si>
  <si>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</si>
  <si>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</si>
  <si>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</si>
  <si>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</si>
  <si>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</si>
  <si>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</si>
  <si>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</si>
  <si>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</si>
  <si>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</si>
  <si>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</si>
  <si>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</si>
  <si>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</si>
  <si>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</si>
  <si>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</si>
  <si>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</si>
  <si>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</si>
  <si>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</si>
  <si>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</si>
  <si>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</si>
  <si>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</si>
  <si>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</si>
  <si>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</si>
  <si>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</si>
  <si>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</si>
  <si>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</si>
  <si>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</si>
  <si>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</si>
  <si>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</si>
  <si>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</si>
  <si>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</si>
  <si>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</si>
  <si>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</si>
  <si>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</si>
  <si>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</si>
  <si>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</si>
  <si>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</si>
  <si>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</si>
  <si>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</si>
  <si>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</si>
  <si>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</si>
  <si>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</si>
  <si>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</si>
  <si>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</si>
  <si>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</si>
  <si>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</si>
  <si>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</si>
  <si>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</si>
  <si>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</si>
  <si>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</si>
  <si>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</si>
  <si>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</si>
  <si>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</si>
  <si>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</si>
  <si>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</si>
  <si>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</si>
  <si>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</si>
  <si>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</si>
  <si>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</si>
  <si>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</si>
  <si>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</si>
  <si>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</si>
  <si>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</si>
  <si>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</si>
  <si>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</si>
  <si>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</si>
  <si>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</si>
  <si>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</si>
  <si>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</si>
  <si>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</si>
  <si>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</si>
  <si>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</si>
  <si>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</si>
  <si>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</si>
  <si>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</si>
  <si>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</si>
  <si>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</si>
  <si>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</si>
  <si>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</si>
  <si>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</si>
  <si>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</si>
  <si>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</si>
  <si>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</si>
  <si>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</si>
  <si>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</si>
  <si>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</si>
  <si>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</si>
  <si>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</si>
  <si>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</si>
  <si>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Haaland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</si>
</sst>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/>
  </sheetViews>
  <sheetFormatPr defaultColWidth="12.54296875" defaultRowHeight="15" customHeight="1" x14ac:dyDescent="0.25"/>
  <cols>
    <col min="1" max="1" width="51.81640625" customWidth="1"/>
    <col min="2" max="2" width="10.54296875" customWidth="1"/>
    <col min="3" max="3" width="13.81640625" customWidth="1"/>
    <col min="4" max="26" width="10.5429687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D4" sqref="D4"/>
    </sheetView>
  </sheetViews>
  <sheetFormatPr defaultColWidth="12.54296875" defaultRowHeight="15" customHeight="1" x14ac:dyDescent="0.25"/>
  <cols>
    <col min="1" max="1" width="13" customWidth="1"/>
    <col min="2" max="3" width="14.8164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21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2</v>
      </c>
      <c r="E3" s="17">
        <v>1</v>
      </c>
      <c r="F3" s="18" t="str">
        <f t="shared" si="0"/>
        <v>H</v>
      </c>
      <c r="H3" s="19" t="s">
        <v>29</v>
      </c>
      <c r="I3" s="19">
        <f>COUNTIF(F2:F49,"A")</f>
        <v>21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2</v>
      </c>
      <c r="E4" s="17">
        <v>1</v>
      </c>
      <c r="F4" s="18" t="str">
        <f t="shared" si="0"/>
        <v>H</v>
      </c>
      <c r="H4" s="19" t="s">
        <v>40</v>
      </c>
      <c r="I4" s="19">
        <f>COUNTIF(F2:F49,"D")</f>
        <v>6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1</v>
      </c>
      <c r="F5" s="18" t="str">
        <f t="shared" si="0"/>
        <v>D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3</v>
      </c>
      <c r="E6" s="17">
        <v>1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1</v>
      </c>
      <c r="E8" s="17">
        <v>1</v>
      </c>
      <c r="F8" s="18" t="str">
        <f t="shared" si="0"/>
        <v>D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2</v>
      </c>
      <c r="E9" s="17">
        <v>1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1</v>
      </c>
      <c r="E10" s="17">
        <v>1</v>
      </c>
      <c r="F10" s="18" t="str">
        <f t="shared" si="0"/>
        <v>D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2</v>
      </c>
      <c r="E11" s="17">
        <v>1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3</v>
      </c>
      <c r="E12" s="17">
        <v>1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2</v>
      </c>
      <c r="E13" s="17">
        <v>1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3</v>
      </c>
      <c r="E14" s="17">
        <v>1</v>
      </c>
      <c r="F14" s="18" t="str">
        <f t="shared" si="0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2</v>
      </c>
      <c r="F15" s="18" t="str">
        <f t="shared" si="0"/>
        <v>A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2</v>
      </c>
      <c r="E16" s="17">
        <v>1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2</v>
      </c>
      <c r="E17" s="17">
        <v>2</v>
      </c>
      <c r="F17" s="18" t="str">
        <f t="shared" si="0"/>
        <v>D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1</v>
      </c>
      <c r="E18" s="17">
        <v>2</v>
      </c>
      <c r="F18" s="18" t="str">
        <f t="shared" si="0"/>
        <v>A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1</v>
      </c>
      <c r="E19" s="17">
        <v>2</v>
      </c>
      <c r="F19" s="18" t="str">
        <f t="shared" si="0"/>
        <v>A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2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1</v>
      </c>
      <c r="E21" s="17">
        <v>2</v>
      </c>
      <c r="F21" s="18" t="str">
        <f t="shared" si="0"/>
        <v>A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2</v>
      </c>
      <c r="E22" s="17">
        <v>1</v>
      </c>
      <c r="F22" s="18" t="str">
        <f t="shared" si="0"/>
        <v>H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3</v>
      </c>
      <c r="E23" s="17">
        <v>1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3</v>
      </c>
      <c r="E24" s="17">
        <v>1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3</v>
      </c>
      <c r="E25" s="17">
        <v>0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2</v>
      </c>
      <c r="F26" s="18" t="str">
        <f t="shared" si="0"/>
        <v>A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1</v>
      </c>
      <c r="E27" s="17">
        <v>2</v>
      </c>
      <c r="F27" s="18" t="str">
        <f t="shared" si="0"/>
        <v>A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3</v>
      </c>
      <c r="E28" s="17">
        <v>1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2</v>
      </c>
      <c r="F29" s="18" t="str">
        <f t="shared" si="0"/>
        <v>A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3</v>
      </c>
      <c r="E30" s="17">
        <v>1</v>
      </c>
      <c r="F30" s="18" t="str">
        <f t="shared" si="0"/>
        <v>H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2</v>
      </c>
      <c r="E31" s="17">
        <v>0</v>
      </c>
      <c r="F31" s="18" t="str">
        <f t="shared" si="0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1</v>
      </c>
      <c r="E32" s="17">
        <v>1</v>
      </c>
      <c r="F32" s="18" t="str">
        <f t="shared" si="0"/>
        <v>D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2</v>
      </c>
      <c r="E33" s="17">
        <v>1</v>
      </c>
      <c r="F33" s="18" t="str">
        <f t="shared" si="0"/>
        <v>H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1</v>
      </c>
      <c r="E34" s="17">
        <v>2</v>
      </c>
      <c r="F34" s="18" t="str">
        <f t="shared" si="0"/>
        <v>A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2</v>
      </c>
      <c r="E35" s="17">
        <v>1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1</v>
      </c>
      <c r="E36" s="17">
        <v>2</v>
      </c>
      <c r="F36" s="18" t="str">
        <f t="shared" si="0"/>
        <v>A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1</v>
      </c>
      <c r="E37" s="17">
        <v>2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1</v>
      </c>
      <c r="E38" s="17">
        <v>2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1</v>
      </c>
      <c r="E39" s="17">
        <v>2</v>
      </c>
      <c r="F39" s="18" t="str">
        <f t="shared" si="0"/>
        <v>A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2</v>
      </c>
      <c r="E40" s="17">
        <v>1</v>
      </c>
      <c r="F40" s="18" t="str">
        <f t="shared" si="0"/>
        <v>H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1</v>
      </c>
      <c r="E41" s="17">
        <v>2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1</v>
      </c>
      <c r="E42" s="17">
        <v>1</v>
      </c>
      <c r="F42" s="18" t="str">
        <f t="shared" si="0"/>
        <v>D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1</v>
      </c>
      <c r="E43" s="17">
        <v>2</v>
      </c>
      <c r="F43" s="18" t="str">
        <f t="shared" si="0"/>
        <v>A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1</v>
      </c>
      <c r="E44" s="17">
        <v>3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1</v>
      </c>
      <c r="E45" s="17">
        <v>2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1</v>
      </c>
      <c r="E46" s="17">
        <v>2</v>
      </c>
      <c r="F46" s="18" t="str">
        <f t="shared" si="0"/>
        <v>A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2</v>
      </c>
      <c r="F47" s="18" t="str">
        <f t="shared" si="0"/>
        <v>A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2</v>
      </c>
      <c r="F48" s="18" t="str">
        <f t="shared" si="0"/>
        <v>A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3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2.54296875" defaultRowHeight="15" customHeight="1" x14ac:dyDescent="0.25"/>
  <cols>
    <col min="1" max="1" width="14.81640625" customWidth="1"/>
    <col min="2" max="2" width="14.81640625" hidden="1" customWidth="1"/>
    <col min="3" max="3" width="21.81640625" customWidth="1"/>
    <col min="4" max="9" width="20.17968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A2</v>
      </c>
      <c r="C2" s="14" t="s">
        <v>76</v>
      </c>
      <c r="D2" s="22">
        <v>2</v>
      </c>
      <c r="E2" s="23">
        <f t="shared" ref="E2:E33" si="1">IF(D2&lt;3,1,"")</f>
        <v>1</v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A3</v>
      </c>
      <c r="C3" s="14" t="s">
        <v>76</v>
      </c>
      <c r="D3" s="22">
        <v>3</v>
      </c>
      <c r="E3" s="23" t="str">
        <f t="shared" si="1"/>
        <v/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A4</v>
      </c>
      <c r="C4" s="14" t="s">
        <v>76</v>
      </c>
      <c r="D4" s="22">
        <v>4</v>
      </c>
      <c r="E4" s="23" t="str">
        <f t="shared" si="1"/>
        <v/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/>
      <c r="G5" s="22"/>
      <c r="H5" s="22"/>
      <c r="I5" s="22"/>
    </row>
    <row r="6" spans="1:9" ht="15.75" customHeight="1" x14ac:dyDescent="0.45">
      <c r="A6" s="15" t="s">
        <v>36</v>
      </c>
      <c r="B6" s="14" t="str">
        <f t="shared" si="0"/>
        <v>B4</v>
      </c>
      <c r="C6" s="14" t="s">
        <v>77</v>
      </c>
      <c r="D6" s="22">
        <v>4</v>
      </c>
      <c r="E6" s="23" t="str">
        <f t="shared" si="1"/>
        <v/>
      </c>
      <c r="F6" s="22"/>
      <c r="G6" s="22"/>
      <c r="H6" s="22"/>
      <c r="I6" s="22"/>
    </row>
    <row r="7" spans="1:9" ht="15.75" customHeight="1" x14ac:dyDescent="0.45">
      <c r="A7" s="15" t="s">
        <v>37</v>
      </c>
      <c r="B7" s="14" t="str">
        <f t="shared" si="0"/>
        <v>B3</v>
      </c>
      <c r="C7" s="14" t="s">
        <v>77</v>
      </c>
      <c r="D7" s="22">
        <v>3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B2</v>
      </c>
      <c r="C8" s="14" t="s">
        <v>77</v>
      </c>
      <c r="D8" s="22">
        <v>2</v>
      </c>
      <c r="E8" s="23">
        <f t="shared" si="1"/>
        <v>1</v>
      </c>
      <c r="F8" s="22">
        <v>1</v>
      </c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B1</v>
      </c>
      <c r="C9" s="14" t="s">
        <v>77</v>
      </c>
      <c r="D9" s="22">
        <v>1</v>
      </c>
      <c r="E9" s="23">
        <f t="shared" si="1"/>
        <v>1</v>
      </c>
      <c r="F9" s="22">
        <v>1</v>
      </c>
      <c r="G9" s="22">
        <v>1</v>
      </c>
      <c r="H9" s="22"/>
      <c r="I9" s="22"/>
    </row>
    <row r="10" spans="1:9" ht="15.75" customHeight="1" x14ac:dyDescent="0.45">
      <c r="A10" s="15" t="s">
        <v>43</v>
      </c>
      <c r="B10" s="14" t="str">
        <f t="shared" si="0"/>
        <v>C4</v>
      </c>
      <c r="C10" s="14" t="s">
        <v>78</v>
      </c>
      <c r="D10" s="22">
        <v>4</v>
      </c>
      <c r="E10" s="23" t="str">
        <f t="shared" si="1"/>
        <v/>
      </c>
      <c r="F10" s="22"/>
      <c r="G10" s="22"/>
      <c r="H10" s="22"/>
      <c r="I10" s="22"/>
    </row>
    <row r="11" spans="1:9" ht="15.75" customHeight="1" x14ac:dyDescent="0.45">
      <c r="A11" s="15" t="s">
        <v>44</v>
      </c>
      <c r="B11" s="14" t="str">
        <f t="shared" si="0"/>
        <v>C2</v>
      </c>
      <c r="C11" s="14" t="s">
        <v>78</v>
      </c>
      <c r="D11" s="22">
        <v>2</v>
      </c>
      <c r="E11" s="23">
        <f t="shared" si="1"/>
        <v>1</v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C1</v>
      </c>
      <c r="C12" s="14" t="s">
        <v>78</v>
      </c>
      <c r="D12" s="22">
        <v>1</v>
      </c>
      <c r="E12" s="23">
        <f t="shared" si="1"/>
        <v>1</v>
      </c>
      <c r="F12" s="22">
        <v>1</v>
      </c>
      <c r="G12" s="22">
        <v>1</v>
      </c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2">
        <v>3</v>
      </c>
      <c r="E13" s="23" t="str">
        <f t="shared" si="1"/>
        <v/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>
        <v>1</v>
      </c>
      <c r="H14" s="22">
        <v>1</v>
      </c>
      <c r="I14" s="22"/>
    </row>
    <row r="15" spans="1:9" ht="15.75" customHeight="1" x14ac:dyDescent="0.45">
      <c r="A15" s="15" t="s">
        <v>50</v>
      </c>
      <c r="B15" s="14" t="str">
        <f t="shared" si="0"/>
        <v>D3</v>
      </c>
      <c r="C15" s="14" t="s">
        <v>79</v>
      </c>
      <c r="D15" s="22">
        <v>3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2">
        <v>2</v>
      </c>
      <c r="E16" s="23">
        <f t="shared" si="1"/>
        <v>1</v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2">
        <v>1</v>
      </c>
      <c r="E18" s="23">
        <f t="shared" si="1"/>
        <v>1</v>
      </c>
      <c r="F18" s="22">
        <v>1</v>
      </c>
      <c r="G18" s="22"/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2">
        <v>4</v>
      </c>
      <c r="E19" s="23" t="str">
        <f t="shared" si="1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E3</v>
      </c>
      <c r="C20" s="14" t="s">
        <v>80</v>
      </c>
      <c r="D20" s="22">
        <v>3</v>
      </c>
      <c r="E20" s="23" t="str">
        <f t="shared" si="1"/>
        <v/>
      </c>
      <c r="F20" s="22"/>
      <c r="G20" s="22"/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E2</v>
      </c>
      <c r="C21" s="14" t="s">
        <v>80</v>
      </c>
      <c r="D21" s="22">
        <v>2</v>
      </c>
      <c r="E21" s="23">
        <f t="shared" si="1"/>
        <v>1</v>
      </c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3">
        <f t="shared" si="1"/>
        <v>1</v>
      </c>
      <c r="F22" s="22">
        <v>1</v>
      </c>
      <c r="G22" s="22">
        <v>1</v>
      </c>
      <c r="H22" s="22">
        <v>1</v>
      </c>
      <c r="I22" s="22">
        <v>1</v>
      </c>
    </row>
    <row r="23" spans="1:9" ht="15.75" customHeight="1" x14ac:dyDescent="0.45">
      <c r="A23" s="15" t="s">
        <v>58</v>
      </c>
      <c r="B23" s="14" t="str">
        <f t="shared" si="0"/>
        <v>F3</v>
      </c>
      <c r="C23" s="14" t="s">
        <v>81</v>
      </c>
      <c r="D23" s="22">
        <v>3</v>
      </c>
      <c r="E23" s="23" t="str">
        <f t="shared" si="1"/>
        <v/>
      </c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F4</v>
      </c>
      <c r="C24" s="14" t="s">
        <v>81</v>
      </c>
      <c r="D24" s="22">
        <v>4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3">
        <f t="shared" si="1"/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/>
      <c r="H26" s="22"/>
      <c r="I26" s="22"/>
    </row>
    <row r="27" spans="1:9" ht="15.75" customHeight="1" x14ac:dyDescent="0.45">
      <c r="A27" s="15" t="s">
        <v>66</v>
      </c>
      <c r="B27" s="14" t="str">
        <f t="shared" si="0"/>
        <v>G2</v>
      </c>
      <c r="C27" s="14" t="s">
        <v>82</v>
      </c>
      <c r="D27" s="22">
        <v>2</v>
      </c>
      <c r="E27" s="23">
        <f t="shared" si="1"/>
        <v>1</v>
      </c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2">
        <v>3</v>
      </c>
      <c r="E28" s="23" t="str">
        <f t="shared" si="1"/>
        <v/>
      </c>
      <c r="F28" s="24">
        <v>1</v>
      </c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2">
        <v>4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>
        <f t="shared" si="1"/>
        <v>1</v>
      </c>
      <c r="F30" s="22"/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2">
        <v>3</v>
      </c>
      <c r="E31" s="23" t="str">
        <f t="shared" si="1"/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 t="shared" si="1"/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2" sqref="B2"/>
    </sheetView>
  </sheetViews>
  <sheetFormatPr defaultColWidth="12.54296875" defaultRowHeight="15" customHeight="1" x14ac:dyDescent="0.25"/>
  <cols>
    <col min="1" max="1" width="54.81640625" customWidth="1"/>
    <col min="2" max="2" width="29.1796875" customWidth="1"/>
    <col min="3" max="26" width="10.54296875" customWidth="1"/>
  </cols>
  <sheetData>
    <row r="1" spans="1:2" ht="135.75" customHeight="1" x14ac:dyDescent="0.25">
      <c r="A1" s="25" t="s">
        <v>84</v>
      </c>
      <c r="B1" s="26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I5" sqref="I5"/>
    </sheetView>
  </sheetViews>
  <sheetFormatPr defaultColWidth="12.54296875" defaultRowHeight="15" customHeight="1" x14ac:dyDescent="0.25"/>
  <cols>
    <col min="1" max="1" width="15.1796875" customWidth="1"/>
    <col min="2" max="5" width="12.54296875" customWidth="1"/>
    <col min="6" max="6" width="10.54296875" customWidth="1"/>
    <col min="7" max="7" width="15.1796875" customWidth="1"/>
    <col min="8" max="8" width="25.453125" customWidth="1"/>
    <col min="9" max="9" width="3.453125" customWidth="1"/>
    <col min="10" max="24" width="10.54296875" customWidth="1"/>
  </cols>
  <sheetData>
    <row r="1" spans="1:9" ht="12.75" customHeight="1" x14ac:dyDescent="0.3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3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Qatar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Senegal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3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Wales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USA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Iran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England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3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Mexico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Saudi Arabia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Argentina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3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Australia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3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Japan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Germany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Canada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Morocco</v>
      </c>
    </row>
    <row r="8" spans="1:9" ht="12.75" customHeight="1" x14ac:dyDescent="0.3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Serbia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Lilley</dc:creator>
  <cp:lastModifiedBy>Admin</cp:lastModifiedBy>
  <dcterms:created xsi:type="dcterms:W3CDTF">2022-11-21T21:49:06Z</dcterms:created>
  <dcterms:modified xsi:type="dcterms:W3CDTF">2022-11-21T21:49:36Z</dcterms:modified>
</cp:coreProperties>
</file>